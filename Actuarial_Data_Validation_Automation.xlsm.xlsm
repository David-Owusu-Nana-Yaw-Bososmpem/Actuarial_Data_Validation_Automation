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Users\Dob123\Documents\ETCHED ACTUARIAL\2 - TECHNICAL SKILLS\PRACTICE PROJECTS IN EXCEL\PROJECT 12\"/>
    </mc:Choice>
  </mc:AlternateContent>
  <bookViews>
    <workbookView xWindow="0" yWindow="0" windowWidth="20490" windowHeight="7500" firstSheet="4" activeTab="5"/>
  </bookViews>
  <sheets>
    <sheet name="Continuity Group" sheetId="2" r:id="rId1"/>
    <sheet name="Continuity Group for Primary" sheetId="3" r:id="rId2"/>
    <sheet name="Continuity Group for Granular" sheetId="4" r:id="rId3"/>
    <sheet name="Primary Values" sheetId="5" r:id="rId4"/>
    <sheet name="Granular Values" sheetId="6" r:id="rId5"/>
    <sheet name="Actuarial Data" sheetId="7" r:id="rId6"/>
    <sheet name="Checks &amp; Inferences" sheetId="11" r:id="rId7"/>
    <sheet name="Provided Data" sheetId="10" r:id="rId8"/>
    <sheet name="Primary Data Point Formulas" sheetId="8" r:id="rId9"/>
    <sheet name="Granular Data Point Formulas" sheetId="9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E2" i="6"/>
  <c r="F3" i="5"/>
  <c r="F2" i="5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F4" i="5" l="1"/>
  <c r="F5" i="5"/>
  <c r="F6" i="5"/>
  <c r="F7" i="5"/>
  <c r="F8" i="5"/>
  <c r="F9" i="5"/>
  <c r="F10" i="5"/>
  <c r="F11" i="5"/>
  <c r="F18" i="6" l="1"/>
  <c r="C19" i="4" s="1"/>
  <c r="C8" i="2" s="1"/>
  <c r="F19" i="6"/>
  <c r="C15" i="4" s="1"/>
  <c r="F20" i="6"/>
  <c r="C16" i="4" s="1"/>
  <c r="F21" i="6"/>
  <c r="C17" i="4" s="1"/>
  <c r="F22" i="6"/>
  <c r="C18" i="4" s="1"/>
  <c r="F23" i="6"/>
  <c r="F24" i="6"/>
  <c r="F25" i="6"/>
  <c r="F26" i="6"/>
  <c r="F17" i="6"/>
  <c r="C14" i="4" s="1"/>
  <c r="C6" i="2" s="1"/>
  <c r="G9" i="5"/>
  <c r="G10" i="5"/>
  <c r="G11" i="5"/>
  <c r="G8" i="5"/>
  <c r="D9" i="3"/>
  <c r="D11" i="3"/>
  <c r="D10" i="3"/>
  <c r="D8" i="3"/>
  <c r="D7" i="3"/>
  <c r="D11" i="5"/>
  <c r="D10" i="5"/>
  <c r="D9" i="5"/>
  <c r="D8" i="5"/>
  <c r="F10" i="6"/>
  <c r="C10" i="4" s="1"/>
  <c r="F7" i="6"/>
  <c r="C7" i="4" s="1"/>
  <c r="F3" i="6"/>
  <c r="C3" i="4" s="1"/>
  <c r="F4" i="6"/>
  <c r="C4" i="4" s="1"/>
  <c r="F5" i="6"/>
  <c r="C5" i="4" s="1"/>
  <c r="F6" i="6"/>
  <c r="C6" i="4" s="1"/>
  <c r="F8" i="6"/>
  <c r="C8" i="4" s="1"/>
  <c r="F9" i="6"/>
  <c r="C9" i="4" s="1"/>
  <c r="F11" i="6"/>
  <c r="C11" i="4" s="1"/>
  <c r="F12" i="6"/>
  <c r="C12" i="4" s="1"/>
  <c r="C4" i="2" s="1"/>
  <c r="F13" i="6"/>
  <c r="F14" i="6"/>
  <c r="F15" i="6"/>
  <c r="F16" i="6"/>
  <c r="F2" i="6"/>
  <c r="C2" i="4" s="1"/>
  <c r="G2" i="5"/>
  <c r="G3" i="5"/>
  <c r="G4" i="5"/>
  <c r="G5" i="5"/>
  <c r="G6" i="5"/>
  <c r="G7" i="5"/>
  <c r="C2" i="2" l="1"/>
  <c r="C20" i="4"/>
  <c r="C9" i="2" s="1"/>
  <c r="C21" i="4"/>
  <c r="C10" i="2" s="1"/>
  <c r="C13" i="4"/>
  <c r="C5" i="2" s="1"/>
  <c r="C7" i="2"/>
  <c r="E9" i="3"/>
  <c r="B8" i="2" s="1"/>
  <c r="A21" i="2" s="1"/>
  <c r="E8" i="3"/>
  <c r="B7" i="2" s="1"/>
  <c r="A20" i="2" s="1"/>
  <c r="E7" i="3"/>
  <c r="B6" i="2" s="1"/>
  <c r="A19" i="2" s="1"/>
  <c r="E11" i="3"/>
  <c r="B10" i="2" s="1"/>
  <c r="A23" i="2" s="1"/>
  <c r="E10" i="3"/>
  <c r="B9" i="2" s="1"/>
  <c r="A22" i="2" s="1"/>
  <c r="C3" i="2"/>
  <c r="D3" i="5" l="1"/>
  <c r="D4" i="5"/>
  <c r="D5" i="5"/>
  <c r="D6" i="5"/>
  <c r="D7" i="5"/>
  <c r="D2" i="5"/>
  <c r="D6" i="3"/>
  <c r="D5" i="3"/>
  <c r="D2" i="3"/>
  <c r="D3" i="3"/>
  <c r="D4" i="3"/>
  <c r="E2" i="3" l="1"/>
  <c r="B2" i="2" s="1"/>
  <c r="A15" i="2" s="1"/>
  <c r="E4" i="3"/>
  <c r="B4" i="2" s="1"/>
  <c r="A17" i="2" s="1"/>
  <c r="E5" i="3"/>
  <c r="E3" i="3"/>
  <c r="B3" i="2" s="1"/>
  <c r="A16" i="2" s="1"/>
  <c r="E6" i="3"/>
  <c r="B5" i="2" l="1"/>
  <c r="A18" i="2" s="1"/>
</calcChain>
</file>

<file path=xl/comments1.xml><?xml version="1.0" encoding="utf-8"?>
<comments xmlns="http://schemas.openxmlformats.org/spreadsheetml/2006/main">
  <authors>
    <author>Microsoft Office User</author>
  </authors>
  <commentLis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you've been able to reconcile your continuity groups, this column should be 0. If not, this column will be the difference between the continuity group value for a parent and granular data point.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sum the values for each Row Name assigned to a specific primary data point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C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sum the values for each Row Name assigned to a specific granular data point</t>
        </r>
      </text>
    </comment>
  </commentList>
</comments>
</file>

<file path=xl/comments4.xml><?xml version="1.0" encoding="utf-8"?>
<comments xmlns="http://schemas.openxmlformats.org/spreadsheetml/2006/main">
  <authors>
    <author>Microsoft Office User</author>
  </authors>
  <commentLis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 value in this column is based on whether the item was added or subtracted in the formula
</t>
        </r>
      </text>
    </comment>
    <comment ref="F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search for the numeric value for a specific Row Name in a specific period within the Actuarial Data tab</t>
        </r>
      </text>
    </comment>
    <comment ref="G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HINT: The purpose of this tab is to apply the appropriate sign to the value pulled from our Actuarial Data for each Row Name</t>
        </r>
      </text>
    </comment>
  </commentList>
</comments>
</file>

<file path=xl/comments5.xml><?xml version="1.0" encoding="utf-8"?>
<comments xmlns="http://schemas.openxmlformats.org/spreadsheetml/2006/main">
  <authors>
    <author>Microsoft Office User</author>
  </authors>
  <commentList>
    <comment ref="D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 value in this column is based on whether the item was added or subtracted in the formula
</t>
        </r>
      </text>
    </commen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search for the numeric value for a specific Row Name in a specific period within the Actuarial Data tab</t>
        </r>
      </text>
    </comment>
    <comment ref="F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HINT: The purpose of this tab is to apply the appropriate sign to the value pulled from our Actuarial Data for each Row Name</t>
        </r>
      </text>
    </comment>
  </commentList>
</comments>
</file>

<file path=xl/comments6.xml><?xml version="1.0" encoding="utf-8"?>
<comments xmlns="http://schemas.openxmlformats.org/spreadsheetml/2006/main">
  <authors>
    <author>Microsoft Office User</author>
  </authors>
  <commentList>
    <comment ref="A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is the naming convention assigned to an individual item as per the actuarial software</t>
        </r>
      </text>
    </comment>
    <comment ref="D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 "formula" used to calculate the value of a specific item based on actuarial. E.g. [Prior Quarter].[Expenses] refer to total expenses reported during the previous quarter, i.e. total expenses as of December 31, 2022.</t>
        </r>
      </text>
    </comment>
  </commentList>
</comments>
</file>

<file path=xl/comments7.xml><?xml version="1.0" encoding="utf-8"?>
<comments xmlns="http://schemas.openxmlformats.org/spreadsheetml/2006/main">
  <authors>
    <author>Microsoft Office User</author>
  </authors>
  <commentList>
    <comment ref="A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is the naming convention assigned to an individual item as per the actuarial software</t>
        </r>
      </text>
    </comment>
    <comment ref="B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Description of each datapoint</t>
        </r>
      </text>
    </comment>
    <comment ref="C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 "formula" used to calculate the value of a specific item based on actuarial. E.g. [Prior Quarter].[Expenses] refer to total expenses reported during the previous quarter, i.e. total expenses as of December 31, 2022.</t>
        </r>
      </text>
    </comment>
  </commentList>
</comments>
</file>

<file path=xl/sharedStrings.xml><?xml version="1.0" encoding="utf-8"?>
<sst xmlns="http://schemas.openxmlformats.org/spreadsheetml/2006/main" count="690" uniqueCount="142">
  <si>
    <t>Data Point Name</t>
  </si>
  <si>
    <t>Formula</t>
  </si>
  <si>
    <t>GCL Variable Name</t>
  </si>
  <si>
    <t>Period</t>
  </si>
  <si>
    <t>Component</t>
  </si>
  <si>
    <t>Prior</t>
  </si>
  <si>
    <t>M0</t>
  </si>
  <si>
    <t>Q1</t>
  </si>
  <si>
    <t>Q2</t>
  </si>
  <si>
    <t>Q3</t>
  </si>
  <si>
    <t>Q4</t>
  </si>
  <si>
    <t>Current</t>
  </si>
  <si>
    <t>Formula Factor</t>
  </si>
  <si>
    <t>Aggregate Value</t>
  </si>
  <si>
    <t>Final Value</t>
  </si>
  <si>
    <t>Continuity Data Points</t>
  </si>
  <si>
    <t>CONT_GROUP_00</t>
  </si>
  <si>
    <t>CONT_GROUP_01</t>
  </si>
  <si>
    <t>CONT_GROUP_02</t>
  </si>
  <si>
    <t>Granular Continuity DataPoint</t>
  </si>
  <si>
    <t>Value</t>
  </si>
  <si>
    <t>Continuity Group</t>
  </si>
  <si>
    <t>Difference</t>
  </si>
  <si>
    <t>Continuity DataPoint</t>
  </si>
  <si>
    <t>Runs</t>
  </si>
  <si>
    <t>Granular Value</t>
  </si>
  <si>
    <t>CONT_GROUP_03</t>
  </si>
  <si>
    <t>Expenses - Advertising</t>
  </si>
  <si>
    <t>Expenses - Interest</t>
  </si>
  <si>
    <t>Expenses - Maintenance Repairs</t>
  </si>
  <si>
    <t>Expenses - Property &amp; Insurance</t>
  </si>
  <si>
    <t>Expenses - Office Supplies</t>
  </si>
  <si>
    <t>Expenses - Taxes</t>
  </si>
  <si>
    <t>Expenses - Wages</t>
  </si>
  <si>
    <t>Expenses - Other</t>
  </si>
  <si>
    <t>Compensation</t>
  </si>
  <si>
    <t>Expenses - Development</t>
  </si>
  <si>
    <t>Expected Claims</t>
  </si>
  <si>
    <t>Data Point</t>
  </si>
  <si>
    <t>Does Parent Datapoint = Granular Datapoint?</t>
  </si>
  <si>
    <t>[Current Quarter].[Expenses - Advertising]</t>
  </si>
  <si>
    <t>[Current Quarter].[Expenses - Interest]</t>
  </si>
  <si>
    <t>[Current Quarter].[Expenses - Maintenance Repairs]</t>
  </si>
  <si>
    <t>[Current Quarter].[Expenses - Office Supplies]</t>
  </si>
  <si>
    <t>[Current Quarter].[Expenses - Property &amp; Insurance]</t>
  </si>
  <si>
    <t>[Current Quarter].[Expenses - Taxes]</t>
  </si>
  <si>
    <t>[Current Quarter].[Expenses - Wages]</t>
  </si>
  <si>
    <t>[Current Quarter].[Expenses - Other]</t>
  </si>
  <si>
    <t>Total expenses at the start of the quarter</t>
  </si>
  <si>
    <t>Total expenses at the end of the quarter</t>
  </si>
  <si>
    <t xml:space="preserve">Portion of expenses due the advertising as at the end of the quarter </t>
  </si>
  <si>
    <t xml:space="preserve">Portion of expenses due the interest as at the end of the quarter </t>
  </si>
  <si>
    <t xml:space="preserve">Portion of expenses due the maintenance repairs as at the end of the quarter </t>
  </si>
  <si>
    <t xml:space="preserve">Portion of expenses due the office supplies as at the end of the quarter </t>
  </si>
  <si>
    <t xml:space="preserve">Portion of expenses due the property and insurance as at the end of the quarter </t>
  </si>
  <si>
    <t xml:space="preserve">Portion of expenses due the taxes as at the end of the quarter </t>
  </si>
  <si>
    <t xml:space="preserve">Portion of expenses due the wages as at the end of the quarter </t>
  </si>
  <si>
    <t xml:space="preserve">Portion of other expenses as at the end of the quarter </t>
  </si>
  <si>
    <t>TOTL_EXP_01</t>
  </si>
  <si>
    <t>TOTL_EXP_02</t>
  </si>
  <si>
    <t>EXP_A</t>
  </si>
  <si>
    <t>EXP_B</t>
  </si>
  <si>
    <t>EXP_C</t>
  </si>
  <si>
    <t>EXP_D</t>
  </si>
  <si>
    <t>EXP_E</t>
  </si>
  <si>
    <t>EXP_F</t>
  </si>
  <si>
    <t>EXP_G</t>
  </si>
  <si>
    <t>EXP_H</t>
  </si>
  <si>
    <t>EXP_I</t>
  </si>
  <si>
    <t>Change in expenses throughout the period</t>
  </si>
  <si>
    <t>EXP_CHNG</t>
  </si>
  <si>
    <t>Change in expenses throughout the quarter</t>
  </si>
  <si>
    <t>[Current Quarter].[Expenses - Development]</t>
  </si>
  <si>
    <t xml:space="preserve">Portion of expenses due the development as at the end of the quarter </t>
  </si>
  <si>
    <t>PV_Expenses</t>
  </si>
  <si>
    <t>Net_Expenses</t>
  </si>
  <si>
    <t>Summarizing Points</t>
  </si>
  <si>
    <t>Data Point Description</t>
  </si>
  <si>
    <t>Total Expenses</t>
  </si>
  <si>
    <t>[Prior Quarter].[Total Expenses]</t>
  </si>
  <si>
    <t>[Current Quarter].[Total Expenses]</t>
  </si>
  <si>
    <t>[Prior Quarter].[Total Expenses]-[Current Quarter].[Claims]+[Current Quarter].[Compensation]-[Current Quarter].[Total Expenses]</t>
  </si>
  <si>
    <t>[Prior Quarter].[Total Expenses]-[Current Quarter].[Expected Claims]+[Current Quarter].[Compensation]-[Current Quarter].[Total Expenses]</t>
  </si>
  <si>
    <t>CONCAT for Continuity Group</t>
  </si>
  <si>
    <t>Row Name (as provided in the actuarial software)</t>
  </si>
  <si>
    <t>Concatenation</t>
  </si>
  <si>
    <t>Row Name</t>
  </si>
  <si>
    <t>Primary Value</t>
  </si>
  <si>
    <t>-</t>
  </si>
  <si>
    <t>PV_Revenue</t>
  </si>
  <si>
    <t>Total Revenue</t>
  </si>
  <si>
    <t>TOTL_REV_01</t>
  </si>
  <si>
    <t>TOTL_REV_02</t>
  </si>
  <si>
    <t>REV_A</t>
  </si>
  <si>
    <t>REV_B</t>
  </si>
  <si>
    <t>REV_C</t>
  </si>
  <si>
    <t>REV_D</t>
  </si>
  <si>
    <t>Revenue - Premiums</t>
  </si>
  <si>
    <t>Revenue - Commission</t>
  </si>
  <si>
    <t>Revenue - Investment earnings</t>
  </si>
  <si>
    <t>Revenue - Other</t>
  </si>
  <si>
    <t>Net Income</t>
  </si>
  <si>
    <t>NET_INCOME_01</t>
  </si>
  <si>
    <t>NET_INCOME_02</t>
  </si>
  <si>
    <t>Revenue - Investment Earnings</t>
  </si>
  <si>
    <t>CONT_GROUP_04</t>
  </si>
  <si>
    <t>CONT_GROUP_05</t>
  </si>
  <si>
    <t>CONT_GROUP_06</t>
  </si>
  <si>
    <t>CONT_GROUP_07</t>
  </si>
  <si>
    <t>CONT_GROUP_08</t>
  </si>
  <si>
    <t>Net_Income</t>
  </si>
  <si>
    <t>Total revenue at the start of the quarter</t>
  </si>
  <si>
    <t>[Prior Quarter].[Total Revenue]</t>
  </si>
  <si>
    <t>Total revenue at the end of the quarter</t>
  </si>
  <si>
    <t>[Current Quarter].[Total Revenue]</t>
  </si>
  <si>
    <t>Priod</t>
  </si>
  <si>
    <t>[Prior Quarter].[Net Income]</t>
  </si>
  <si>
    <t>[Current Quarter].[Net Income]</t>
  </si>
  <si>
    <t xml:space="preserve">Portion of revenue due the premiums as at the end of the quarter </t>
  </si>
  <si>
    <t>[Current Quarter].[Revenue - Premiums]</t>
  </si>
  <si>
    <t xml:space="preserve">Portion of revenue due the commission as at the end of the quarter </t>
  </si>
  <si>
    <t>[Current Quarter].[Revenue - Commission]</t>
  </si>
  <si>
    <t xml:space="preserve">Portion of revenue due the investment earnings as at the end of the quarter </t>
  </si>
  <si>
    <t>[Current Quarter].[Revenue - Investment Earnings]</t>
  </si>
  <si>
    <t xml:space="preserve">Portion of revenue due the other as at the end of the quarter </t>
  </si>
  <si>
    <t>[Current Quarter].[Revenue - Other]</t>
  </si>
  <si>
    <t>Net income at the start of the quarter</t>
  </si>
  <si>
    <t>[Prior Quarter].[Total Revenue]-[Prior Quarter].[Total Expenses]</t>
  </si>
  <si>
    <t>Net income at the end of the quarter</t>
  </si>
  <si>
    <t>[Current Quarter].[Total Revenue]-[Current Quarter].[Total Expenses]</t>
  </si>
  <si>
    <t>Current Valuation Period</t>
  </si>
  <si>
    <t>Q1 2023</t>
  </si>
  <si>
    <t>Valuation Date</t>
  </si>
  <si>
    <t>Amount</t>
  </si>
  <si>
    <t>Q2 2023</t>
  </si>
  <si>
    <t>Q4 2022</t>
  </si>
  <si>
    <t>Q3 2022</t>
  </si>
  <si>
    <t>Q2 2022</t>
  </si>
  <si>
    <t>Reasonability Checks</t>
  </si>
  <si>
    <t>Notes</t>
  </si>
  <si>
    <t>Value is within the expected range.</t>
  </si>
  <si>
    <t>Value is not within the expected range. Please contact the department lead.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</si>
</sst>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">
    <xf numFmtId="0" fontId="0" fillId="0" borderId="0" xfId="0"/>
    <xf numFmtId="43" fontId="0" fillId="0" borderId="0" xfId="1" applyFont="1"/>
    <xf numFmtId="0" fontId="2" fillId="2" borderId="1" xfId="0" applyFont="1" applyFill="1" applyBorder="1"/>
    <xf numFmtId="0" fontId="0" fillId="0" borderId="1" xfId="0" applyBorder="1"/>
    <xf numFmtId="0" fontId="0" fillId="0" borderId="1" xfId="0" quotePrefix="1" applyBorder="1"/>
    <xf numFmtId="43" fontId="0" fillId="0" borderId="1" xfId="1" applyFont="1" applyBorder="1"/>
    <xf numFmtId="43" fontId="0" fillId="0" borderId="0" xfId="0" applyNumberFormat="1"/>
    <xf numFmtId="43" fontId="2" fillId="2" borderId="1" xfId="1" applyFont="1" applyFill="1" applyBorder="1"/>
    <xf numFmtId="0" fontId="0" fillId="0" borderId="1" xfId="0" quotePrefix="1" applyBorder="1" applyAlignment="1">
      <alignment wrapText="1"/>
    </xf>
    <xf numFmtId="0" fontId="0" fillId="0" borderId="0" xfId="0" quotePrefix="1"/>
    <xf numFmtId="0" fontId="0" fillId="0" borderId="2" xfId="0" applyBorder="1"/>
    <xf numFmtId="0" fontId="2" fillId="0" borderId="0" xfId="0" applyFont="1"/>
    <xf numFmtId="0" fontId="0" fillId="0" borderId="1" xfId="1" applyNumberFormat="1" applyFont="1" applyBorder="1" applyAlignment="1">
      <alignment horizontal="center"/>
    </xf>
    <xf numFmtId="0" fontId="0" fillId="0" borderId="0" xfId="0" applyBorder="1"/>
    <xf numFmtId="44" fontId="0" fillId="0" borderId="1" xfId="2" applyFont="1" applyFill="1" applyBorder="1"/>
    <xf numFmtId="0" fontId="0" fillId="0" borderId="0" xfId="0" applyFill="1" applyBorder="1"/>
    <xf numFmtId="0" fontId="0" fillId="0" borderId="1" xfId="0" applyFill="1" applyBorder="1"/>
    <xf numFmtId="44" fontId="0" fillId="0" borderId="1" xfId="2" applyFont="1" applyBorder="1" applyAlignment="1">
      <alignment horizontal="center"/>
    </xf>
    <xf numFmtId="44" fontId="0" fillId="0" borderId="1" xfId="2" applyFont="1" applyBorder="1"/>
    <xf numFmtId="0" fontId="0" fillId="0" borderId="1" xfId="0" applyBorder="1" applyAlignment="1">
      <alignment wrapText="1"/>
    </xf>
    <xf numFmtId="0" fontId="2" fillId="3" borderId="3" xfId="0" applyFont="1" applyFill="1" applyBorder="1"/>
    <xf numFmtId="0" fontId="2" fillId="3" borderId="4" xfId="0" applyFont="1" applyFill="1" applyBorder="1"/>
    <xf numFmtId="43" fontId="2" fillId="3" borderId="4" xfId="1" applyFont="1" applyFill="1" applyBorder="1"/>
    <xf numFmtId="0" fontId="0" fillId="0" borderId="5" xfId="0" applyBorder="1"/>
    <xf numFmtId="0" fontId="0" fillId="0" borderId="6" xfId="0" applyBorder="1"/>
    <xf numFmtId="43" fontId="0" fillId="0" borderId="6" xfId="1" applyFont="1" applyBorder="1"/>
    <xf numFmtId="0" fontId="0" fillId="0" borderId="7" xfId="0" applyBorder="1"/>
    <xf numFmtId="43" fontId="0" fillId="0" borderId="2" xfId="1" applyFont="1" applyBorder="1"/>
    <xf numFmtId="44" fontId="0" fillId="0" borderId="1" xfId="2" applyFont="1" applyFill="1" applyBorder="1" applyAlignment="1">
      <alignment horizontal="center"/>
    </xf>
    <xf numFmtId="44" fontId="0" fillId="0" borderId="0" xfId="0" applyNumberFormat="1"/>
    <xf numFmtId="0" fontId="0" fillId="2" borderId="1" xfId="0" applyFill="1" applyBorder="1"/>
    <xf numFmtId="0" fontId="2" fillId="3" borderId="1" xfId="0" applyFont="1" applyFill="1" applyBorder="1"/>
    <xf numFmtId="7" fontId="0" fillId="4" borderId="1" xfId="2" applyNumberFormat="1" applyFont="1" applyFill="1" applyBorder="1"/>
    <xf numFmtId="7" fontId="0" fillId="5" borderId="1" xfId="2" applyNumberFormat="1" applyFont="1" applyFill="1" applyBorder="1"/>
  </cellXfs>
  <cellStyles count="3">
    <cellStyle name="Comma" xfId="1" builtinId="3"/>
    <cellStyle name="Currency" xfId="2" builtinId="4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5</xdr:row>
      <xdr:rowOff>9524</xdr:rowOff>
    </xdr:from>
    <xdr:to>
      <xdr:col>8</xdr:col>
      <xdr:colOff>247650</xdr:colOff>
      <xdr:row>9</xdr:row>
      <xdr:rowOff>152399</xdr:rowOff>
    </xdr:to>
    <xdr:sp macro="[0]!data" textlink="">
      <xdr:nvSpPr>
        <xdr:cNvPr id="2" name="Oval 1"/>
        <xdr:cNvSpPr/>
      </xdr:nvSpPr>
      <xdr:spPr>
        <a:xfrm>
          <a:off x="10010775" y="1009649"/>
          <a:ext cx="1600200" cy="942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Calculate Values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285750</xdr:colOff>
      <xdr:row>10</xdr:row>
      <xdr:rowOff>152400</xdr:rowOff>
    </xdr:from>
    <xdr:to>
      <xdr:col>8</xdr:col>
      <xdr:colOff>247650</xdr:colOff>
      <xdr:row>15</xdr:row>
      <xdr:rowOff>57150</xdr:rowOff>
    </xdr:to>
    <xdr:sp macro="[0]!ClearValues" textlink="">
      <xdr:nvSpPr>
        <xdr:cNvPr id="3" name="Oval 2"/>
        <xdr:cNvSpPr/>
      </xdr:nvSpPr>
      <xdr:spPr>
        <a:xfrm>
          <a:off x="10048875" y="2152650"/>
          <a:ext cx="1562100" cy="904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Clear All Values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2</xdr:row>
      <xdr:rowOff>161925</xdr:rowOff>
    </xdr:from>
    <xdr:to>
      <xdr:col>8</xdr:col>
      <xdr:colOff>190500</xdr:colOff>
      <xdr:row>7</xdr:row>
      <xdr:rowOff>28575</xdr:rowOff>
    </xdr:to>
    <xdr:sp macro="[0]!reliability_check" textlink="">
      <xdr:nvSpPr>
        <xdr:cNvPr id="2" name="Oval 1"/>
        <xdr:cNvSpPr/>
      </xdr:nvSpPr>
      <xdr:spPr>
        <a:xfrm>
          <a:off x="9486900" y="561975"/>
          <a:ext cx="15811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Perform</a:t>
          </a:r>
          <a:r>
            <a:rPr lang="en-US" sz="1600" baseline="0"/>
            <a:t> Checks</a:t>
          </a:r>
          <a:endParaRPr lang="en-US" sz="1600"/>
        </a:p>
      </xdr:txBody>
    </xdr:sp>
    <xdr:clientData/>
  </xdr:twoCellAnchor>
  <xdr:twoCellAnchor>
    <xdr:from>
      <xdr:col>5</xdr:col>
      <xdr:colOff>666750</xdr:colOff>
      <xdr:row>7</xdr:row>
      <xdr:rowOff>180975</xdr:rowOff>
    </xdr:from>
    <xdr:to>
      <xdr:col>8</xdr:col>
      <xdr:colOff>190500</xdr:colOff>
      <xdr:row>12</xdr:row>
      <xdr:rowOff>47625</xdr:rowOff>
    </xdr:to>
    <xdr:sp macro="[0]!ClearRE" textlink="">
      <xdr:nvSpPr>
        <xdr:cNvPr id="3" name="Oval 2"/>
        <xdr:cNvSpPr/>
      </xdr:nvSpPr>
      <xdr:spPr>
        <a:xfrm>
          <a:off x="9486900" y="1581150"/>
          <a:ext cx="15811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Clear Checks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A1:E24"/>
  <sheetViews>
    <sheetView zoomScale="110" zoomScaleNormal="110" workbookViewId="0">
      <selection activeCell="E13" sqref="E13"/>
    </sheetView>
  </sheetViews>
  <sheetFormatPr defaultColWidth="11" defaultRowHeight="15.75" x14ac:dyDescent="0.25"/>
  <cols>
    <col min="1" max="1" width="19.875" customWidth="1"/>
    <col min="2" max="2" width="14.625" bestFit="1" customWidth="1"/>
    <col min="3" max="3" width="15.625" customWidth="1"/>
    <col min="4" max="4" width="41.5" bestFit="1" customWidth="1"/>
    <col min="5" max="5" width="17.625" customWidth="1"/>
  </cols>
  <sheetData>
    <row r="1" spans="1:5" x14ac:dyDescent="0.25">
      <c r="A1" s="2" t="s">
        <v>21</v>
      </c>
      <c r="B1" s="2" t="s">
        <v>87</v>
      </c>
      <c r="C1" s="2" t="s">
        <v>25</v>
      </c>
      <c r="D1" s="2" t="s">
        <v>39</v>
      </c>
      <c r="E1" s="2" t="s">
        <v>22</v>
      </c>
    </row>
    <row r="2" spans="1:5" x14ac:dyDescent="0.25">
      <c r="A2" s="3" t="s">
        <v>16</v>
      </c>
      <c r="B2" s="14">
        <f>SUMIFS('Continuity Group for Primary'!$E$2:$E$6,'Continuity Group for Primary'!$A$2:$A$6,'Continuity Group'!A2)</f>
        <v>58500000</v>
      </c>
      <c r="C2" s="14">
        <f>SUMIFS('Continuity Group for Granular'!$C$2:$C$13,'Continuity Group for Granular'!$A$2:$A$13,'Continuity Group'!A2)</f>
        <v>58500000</v>
      </c>
      <c r="D2" s="3" t="b">
        <v>1</v>
      </c>
      <c r="E2" s="12" t="s">
        <v>88</v>
      </c>
    </row>
    <row r="3" spans="1:5" x14ac:dyDescent="0.25">
      <c r="A3" s="3" t="s">
        <v>17</v>
      </c>
      <c r="B3" s="14">
        <f>SUMIFS('Continuity Group for Primary'!$E$2:$E$6,'Continuity Group for Primary'!$A$2:$A$6,'Continuity Group'!A3)</f>
        <v>50250000</v>
      </c>
      <c r="C3" s="14">
        <f>SUMIFS('Continuity Group for Granular'!$C$2:$C$13,'Continuity Group for Granular'!$A$2:$A$13,'Continuity Group'!A3)</f>
        <v>50250000</v>
      </c>
      <c r="D3" s="3" t="b">
        <v>1</v>
      </c>
      <c r="E3" s="12" t="s">
        <v>88</v>
      </c>
    </row>
    <row r="4" spans="1:5" x14ac:dyDescent="0.25">
      <c r="A4" s="3" t="s">
        <v>18</v>
      </c>
      <c r="B4" s="14">
        <f>SUMIFS('Continuity Group for Primary'!$E$2:$E$6,'Continuity Group for Primary'!$A$2:$A$6,'Continuity Group'!A4)</f>
        <v>50250000</v>
      </c>
      <c r="C4" s="14">
        <f>SUMIFS('Continuity Group for Granular'!$C$2:$C$13,'Continuity Group for Granular'!$A$2:$A$13,'Continuity Group'!A4)</f>
        <v>50250000</v>
      </c>
      <c r="D4" s="3" t="b">
        <v>1</v>
      </c>
      <c r="E4" s="12" t="s">
        <v>88</v>
      </c>
    </row>
    <row r="5" spans="1:5" x14ac:dyDescent="0.25">
      <c r="A5" s="3" t="s">
        <v>26</v>
      </c>
      <c r="B5" s="14">
        <f>SUMIFS('Continuity Group for Primary'!$E$2:$E$6,'Continuity Group for Primary'!$A$2:$A$6,'Continuity Group'!A5)</f>
        <v>6500000</v>
      </c>
      <c r="C5" s="14">
        <f>SUMIFS('Continuity Group for Granular'!$C$2:$C$13,'Continuity Group for Granular'!$A$2:$A$13,'Continuity Group'!A5)</f>
        <v>6500000</v>
      </c>
      <c r="D5" s="3" t="b">
        <v>1</v>
      </c>
      <c r="E5" s="12" t="s">
        <v>88</v>
      </c>
    </row>
    <row r="6" spans="1:5" x14ac:dyDescent="0.25">
      <c r="A6" s="3" t="s">
        <v>105</v>
      </c>
      <c r="B6" s="18">
        <f>SUMIFS('Continuity Group for Primary'!$E$2:$E$11,'Continuity Group for Primary'!$A$2:$A$11,'Continuity Group'!A6)</f>
        <v>62050000</v>
      </c>
      <c r="C6" s="18">
        <f>SUMIFS('Continuity Group for Granular'!$C$2:$C$21,'Continuity Group for Granular'!$A$2:$A$21,'Continuity Group'!A6)</f>
        <v>62050000</v>
      </c>
      <c r="D6" s="3" t="b">
        <v>1</v>
      </c>
      <c r="E6" s="12" t="s">
        <v>88</v>
      </c>
    </row>
    <row r="7" spans="1:5" x14ac:dyDescent="0.25">
      <c r="A7" s="3" t="s">
        <v>106</v>
      </c>
      <c r="B7" s="18">
        <f>SUMIFS('Continuity Group for Primary'!$E$2:$E$11,'Continuity Group for Primary'!$A$2:$A$11,'Continuity Group'!A7)</f>
        <v>57120000</v>
      </c>
      <c r="C7" s="18">
        <f>SUMIFS('Continuity Group for Granular'!$C$2:$C$21,'Continuity Group for Granular'!$A$2:$A$21,'Continuity Group'!A7)</f>
        <v>57120000</v>
      </c>
      <c r="D7" s="3" t="b">
        <v>1</v>
      </c>
      <c r="E7" s="12" t="s">
        <v>88</v>
      </c>
    </row>
    <row r="8" spans="1:5" x14ac:dyDescent="0.25">
      <c r="A8" s="3" t="s">
        <v>107</v>
      </c>
      <c r="B8" s="18">
        <f>SUMIFS('Continuity Group for Primary'!$E$2:$E$11,'Continuity Group for Primary'!$A$2:$A$11,'Continuity Group'!A8)</f>
        <v>57120000</v>
      </c>
      <c r="C8" s="18">
        <f>SUMIFS('Continuity Group for Granular'!$C$2:$C$21,'Continuity Group for Granular'!$A$2:$A$21,'Continuity Group'!A8)</f>
        <v>57120000</v>
      </c>
      <c r="D8" s="3" t="b">
        <v>1</v>
      </c>
      <c r="E8" s="12" t="s">
        <v>88</v>
      </c>
    </row>
    <row r="9" spans="1:5" x14ac:dyDescent="0.25">
      <c r="A9" s="3" t="s">
        <v>108</v>
      </c>
      <c r="B9" s="18">
        <f>SUMIFS('Continuity Group for Primary'!$E$2:$E$11,'Continuity Group for Primary'!$A$2:$A$11,'Continuity Group'!A9)</f>
        <v>3550000</v>
      </c>
      <c r="C9" s="18">
        <f>SUMIFS('Continuity Group for Granular'!$C$2:$C$21,'Continuity Group for Granular'!$A$2:$A$21,'Continuity Group'!A9)</f>
        <v>3550000</v>
      </c>
      <c r="D9" s="3" t="b">
        <v>1</v>
      </c>
      <c r="E9" s="12" t="s">
        <v>88</v>
      </c>
    </row>
    <row r="10" spans="1:5" x14ac:dyDescent="0.25">
      <c r="A10" s="3" t="s">
        <v>109</v>
      </c>
      <c r="B10" s="18">
        <f>SUMIFS('Continuity Group for Primary'!$E$2:$E$11,'Continuity Group for Primary'!$A$2:$A$11,'Continuity Group'!A10)</f>
        <v>6870000</v>
      </c>
      <c r="C10" s="18">
        <f>SUMIFS('Continuity Group for Granular'!$C$2:$C$21,'Continuity Group for Granular'!$A$2:$A$21,'Continuity Group'!A10)</f>
        <v>6870000</v>
      </c>
      <c r="D10" s="3" t="b">
        <v>1</v>
      </c>
      <c r="E10" s="12" t="s">
        <v>88</v>
      </c>
    </row>
    <row r="14" spans="1:5" x14ac:dyDescent="0.25">
      <c r="A14" s="11" t="s">
        <v>76</v>
      </c>
    </row>
    <row r="15" spans="1:5" x14ac:dyDescent="0.25">
      <c r="A15" s="13" t="str">
        <f>"-For the reporting period January 1, 2023 to March 31, 2023, CONT_GROUP_00 had a final reconciliation value of " &amp; VLOOKUP(A2,$A$2:$E$5,2,FALSE)</f>
        <v>-For the reporting period January 1, 2023 to March 31, 2023, CONT_GROUP_00 had a final reconciliation value of 58500000</v>
      </c>
      <c r="D15" s="9"/>
    </row>
    <row r="16" spans="1:5" x14ac:dyDescent="0.25">
      <c r="A16" s="13" t="str">
        <f>"-For the reporting period January 1, 2023 to March 31, 2023, CONT_GROUP_01 had a final reconciliation value of " &amp; VLOOKUP(A3,$A$2:$E$5,2,FALSE)</f>
        <v>-For the reporting period January 1, 2023 to March 31, 2023, CONT_GROUP_01 had a final reconciliation value of 50250000</v>
      </c>
    </row>
    <row r="17" spans="1:1" x14ac:dyDescent="0.25">
      <c r="A17" s="13" t="str">
        <f>"-For the reporting period January 1, 2023 to March 31, 2023, CONT_GROUP_02 had a final reconciliation value of " &amp; VLOOKUP(A4,$A$2:$E$5,2,FALSE)</f>
        <v>-For the reporting period January 1, 2023 to March 31, 2023, CONT_GROUP_02 had a final reconciliation value of 50250000</v>
      </c>
    </row>
    <row r="18" spans="1:1" x14ac:dyDescent="0.25">
      <c r="A18" s="13" t="str">
        <f>"-For the reporting period January 1, 2023 to March 31, 2023, CONT_GROUP_03 had a final reconciliation value of " &amp; VLOOKUP(A5,$A$2:$E$5,2,FALSE)</f>
        <v>-For the reporting period January 1, 2023 to March 31, 2023, CONT_GROUP_03 had a final reconciliation value of 6500000</v>
      </c>
    </row>
    <row r="19" spans="1:1" x14ac:dyDescent="0.25">
      <c r="A19" s="13" t="str">
        <f>"-For the reporting period January 1, 2023 to March 31, 2023, CONT_GROUP_04 had a final reconciliation value of " &amp; VLOOKUP(A6,A2:E10,2,FALSE)</f>
        <v>-For the reporting period January 1, 2023 to March 31, 2023, CONT_GROUP_04 had a final reconciliation value of 62050000</v>
      </c>
    </row>
    <row r="20" spans="1:1" x14ac:dyDescent="0.25">
      <c r="A20" s="13" t="str">
        <f>"-For the reporting period January 1, 2023 to March 31, 2023, CONT_GROUP_05 had a final reconciliation value of " &amp; VLOOKUP(A7,A3:E11,2,FALSE)</f>
        <v>-For the reporting period January 1, 2023 to March 31, 2023, CONT_GROUP_05 had a final reconciliation value of 57120000</v>
      </c>
    </row>
    <row r="21" spans="1:1" x14ac:dyDescent="0.25">
      <c r="A21" s="13" t="str">
        <f>"-For the reporting period January 1, 2023 to March 31, 2023, CONT_GROUP_06 had a final reconciliation value of " &amp; VLOOKUP(A8,A4:E12,2,FALSE)</f>
        <v>-For the reporting period January 1, 2023 to March 31, 2023, CONT_GROUP_06 had a final reconciliation value of 57120000</v>
      </c>
    </row>
    <row r="22" spans="1:1" x14ac:dyDescent="0.25">
      <c r="A22" s="13" t="str">
        <f>"-For the reporting period January 1, 2023 to March 31, 2023, CONT_GROUP_07 had a final reconciliation value of " &amp; VLOOKUP(A9,A5:E13,2,FALSE)</f>
        <v>-For the reporting period January 1, 2023 to March 31, 2023, CONT_GROUP_07 had a final reconciliation value of 3550000</v>
      </c>
    </row>
    <row r="23" spans="1:1" x14ac:dyDescent="0.25">
      <c r="A23" s="13" t="str">
        <f>"-For the reporting period January 1, 2023 to March 31, 2023, CONT_GROUP_08 had a final reconciliation value of " &amp; VLOOKUP(A10,A6:E14,2,FALSE)</f>
        <v>-For the reporting period January 1, 2023 to March 31, 2023, CONT_GROUP_08 had a final reconciliation value of 6870000</v>
      </c>
    </row>
    <row r="24" spans="1:1" x14ac:dyDescent="0.25">
      <c r="A24" s="13"/>
    </row>
  </sheetData>
  <phoneticPr fontId="3" type="noConversion"/>
  <conditionalFormatting sqref="D2:D10">
    <cfRule type="containsText" dxfId="0" priority="1" operator="containsText" text="TRUE">
      <formula>NOT(ISERROR(SEARCH("TRUE",D2)))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</sheetPr>
  <dimension ref="A1:E11"/>
  <sheetViews>
    <sheetView zoomScale="80" zoomScaleNormal="110" workbookViewId="0">
      <selection activeCell="F14" sqref="F14"/>
    </sheetView>
  </sheetViews>
  <sheetFormatPr defaultColWidth="11" defaultRowHeight="15.75" x14ac:dyDescent="0.25"/>
  <cols>
    <col min="1" max="1" width="18" bestFit="1" customWidth="1"/>
    <col min="2" max="2" width="24" bestFit="1" customWidth="1"/>
    <col min="3" max="3" width="7.375" bestFit="1" customWidth="1"/>
    <col min="4" max="4" width="25.5" customWidth="1"/>
    <col min="5" max="5" width="22" customWidth="1"/>
  </cols>
  <sheetData>
    <row r="1" spans="1:5" x14ac:dyDescent="0.25">
      <c r="A1" s="2" t="s">
        <v>23</v>
      </c>
      <c r="B1" s="2" t="s">
        <v>2</v>
      </c>
      <c r="C1" s="2" t="s">
        <v>24</v>
      </c>
      <c r="D1" s="2" t="s">
        <v>85</v>
      </c>
      <c r="E1" s="2" t="s">
        <v>20</v>
      </c>
    </row>
    <row r="2" spans="1:5" x14ac:dyDescent="0.25">
      <c r="A2" s="3" t="s">
        <v>16</v>
      </c>
      <c r="B2" s="3" t="s">
        <v>74</v>
      </c>
      <c r="C2" s="3" t="s">
        <v>5</v>
      </c>
      <c r="D2" s="3" t="str">
        <f>B2&amp;C2</f>
        <v>PV_ExpensesPrior</v>
      </c>
      <c r="E2" s="14">
        <f>SUMIFS('Primary Values'!$G$2:$G$7,'Primary Values'!$D$2:$D$7,'Continuity Group for Primary'!D2)</f>
        <v>58500000</v>
      </c>
    </row>
    <row r="3" spans="1:5" x14ac:dyDescent="0.25">
      <c r="A3" s="3" t="s">
        <v>17</v>
      </c>
      <c r="B3" s="3" t="s">
        <v>74</v>
      </c>
      <c r="C3" s="3" t="s">
        <v>11</v>
      </c>
      <c r="D3" s="3" t="str">
        <f>B3&amp;C3</f>
        <v>PV_ExpensesCurrent</v>
      </c>
      <c r="E3" s="14">
        <f>SUMIFS('Primary Values'!$G$2:$G$7,'Primary Values'!$D$2:$D$7,'Continuity Group for Primary'!D3)</f>
        <v>50250000</v>
      </c>
    </row>
    <row r="4" spans="1:5" x14ac:dyDescent="0.25">
      <c r="A4" s="3" t="s">
        <v>18</v>
      </c>
      <c r="B4" s="3" t="s">
        <v>74</v>
      </c>
      <c r="C4" s="3" t="s">
        <v>11</v>
      </c>
      <c r="D4" s="3" t="str">
        <f>B4&amp;C4</f>
        <v>PV_ExpensesCurrent</v>
      </c>
      <c r="E4" s="14">
        <f>SUMIFS('Primary Values'!$G$2:$G$7,'Primary Values'!$D$2:$D$7,'Continuity Group for Primary'!D4)</f>
        <v>50250000</v>
      </c>
    </row>
    <row r="5" spans="1:5" x14ac:dyDescent="0.25">
      <c r="A5" s="3" t="s">
        <v>26</v>
      </c>
      <c r="B5" s="3" t="s">
        <v>75</v>
      </c>
      <c r="C5" s="3" t="s">
        <v>5</v>
      </c>
      <c r="D5" s="3" t="str">
        <f t="shared" ref="D5:D11" si="0">B5&amp;C5</f>
        <v>Net_ExpensesPrior</v>
      </c>
      <c r="E5" s="14">
        <f>SUMIFS('Primary Values'!$G$2:$G$7,'Primary Values'!$D$2:$D$7,'Continuity Group for Primary'!D5)</f>
        <v>58500000</v>
      </c>
    </row>
    <row r="6" spans="1:5" x14ac:dyDescent="0.25">
      <c r="A6" s="3" t="s">
        <v>26</v>
      </c>
      <c r="B6" s="3" t="s">
        <v>75</v>
      </c>
      <c r="C6" s="3" t="s">
        <v>11</v>
      </c>
      <c r="D6" s="3" t="str">
        <f t="shared" si="0"/>
        <v>Net_ExpensesCurrent</v>
      </c>
      <c r="E6" s="14">
        <f>SUMIFS('Primary Values'!$G$2:$G$7,'Primary Values'!$D$2:$D$7,'Continuity Group for Primary'!D6)</f>
        <v>-52000000</v>
      </c>
    </row>
    <row r="7" spans="1:5" x14ac:dyDescent="0.25">
      <c r="A7" s="3" t="s">
        <v>105</v>
      </c>
      <c r="B7" s="16" t="s">
        <v>89</v>
      </c>
      <c r="C7" s="16" t="s">
        <v>5</v>
      </c>
      <c r="D7" s="16" t="str">
        <f t="shared" si="0"/>
        <v>PV_RevenuePrior</v>
      </c>
      <c r="E7" s="18">
        <f>SUMIFS('Primary Values'!$G$2:$G$11,'Primary Values'!$D$2:$D$11,'Continuity Group for Primary'!D7)</f>
        <v>62050000</v>
      </c>
    </row>
    <row r="8" spans="1:5" x14ac:dyDescent="0.25">
      <c r="A8" s="3" t="s">
        <v>106</v>
      </c>
      <c r="B8" s="16" t="s">
        <v>89</v>
      </c>
      <c r="C8" s="16" t="s">
        <v>11</v>
      </c>
      <c r="D8" s="16" t="str">
        <f t="shared" si="0"/>
        <v>PV_RevenueCurrent</v>
      </c>
      <c r="E8" s="18">
        <f>SUMIFS('Primary Values'!$G$2:$G$11,'Primary Values'!$D$2:$D$11,'Continuity Group for Primary'!D8)</f>
        <v>57120000</v>
      </c>
    </row>
    <row r="9" spans="1:5" x14ac:dyDescent="0.25">
      <c r="A9" s="3" t="s">
        <v>107</v>
      </c>
      <c r="B9" s="16" t="s">
        <v>89</v>
      </c>
      <c r="C9" s="16" t="s">
        <v>11</v>
      </c>
      <c r="D9" s="16" t="str">
        <f t="shared" si="0"/>
        <v>PV_RevenueCurrent</v>
      </c>
      <c r="E9" s="18">
        <f>SUMIFS('Primary Values'!$G$2:$G$11,'Primary Values'!$D$2:$D$11,'Continuity Group for Primary'!D9)</f>
        <v>57120000</v>
      </c>
    </row>
    <row r="10" spans="1:5" x14ac:dyDescent="0.25">
      <c r="A10" s="3" t="s">
        <v>108</v>
      </c>
      <c r="B10" s="16" t="s">
        <v>110</v>
      </c>
      <c r="C10" s="16" t="s">
        <v>5</v>
      </c>
      <c r="D10" s="16" t="str">
        <f t="shared" si="0"/>
        <v>Net_IncomePrior</v>
      </c>
      <c r="E10" s="18">
        <f>SUMIFS('Primary Values'!$G$2:$G$11,'Primary Values'!$D$2:$D$11,'Continuity Group for Primary'!D10)</f>
        <v>3550000</v>
      </c>
    </row>
    <row r="11" spans="1:5" x14ac:dyDescent="0.25">
      <c r="A11" s="3" t="s">
        <v>109</v>
      </c>
      <c r="B11" s="16" t="s">
        <v>110</v>
      </c>
      <c r="C11" s="16" t="s">
        <v>11</v>
      </c>
      <c r="D11" s="16" t="str">
        <f t="shared" si="0"/>
        <v>Net_IncomeCurrent</v>
      </c>
      <c r="E11" s="18">
        <f>SUMIFS('Primary Values'!$G$2:$G$11,'Primary Values'!$D$2:$D$11,'Continuity Group for Primary'!D11)</f>
        <v>6870000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C23"/>
  <sheetViews>
    <sheetView workbookViewId="0">
      <selection activeCell="C3" sqref="C3"/>
    </sheetView>
  </sheetViews>
  <sheetFormatPr defaultColWidth="11" defaultRowHeight="15.75" x14ac:dyDescent="0.25"/>
  <cols>
    <col min="1" max="1" width="22.125" customWidth="1"/>
    <col min="2" max="2" width="28.875" customWidth="1"/>
    <col min="3" max="3" width="19" customWidth="1"/>
  </cols>
  <sheetData>
    <row r="1" spans="1:3" x14ac:dyDescent="0.25">
      <c r="A1" s="2" t="s">
        <v>15</v>
      </c>
      <c r="B1" s="2" t="s">
        <v>19</v>
      </c>
      <c r="C1" s="2" t="s">
        <v>20</v>
      </c>
    </row>
    <row r="2" spans="1:3" x14ac:dyDescent="0.25">
      <c r="A2" s="3" t="s">
        <v>16</v>
      </c>
      <c r="B2" s="3" t="s">
        <v>58</v>
      </c>
      <c r="C2" s="14">
        <f>SUMIFS('Granular Values'!$F$2:$F$16,'Granular Values'!$A$2:$A$16,'Continuity Group for Granular'!B2)</f>
        <v>58500000</v>
      </c>
    </row>
    <row r="3" spans="1:3" x14ac:dyDescent="0.25">
      <c r="A3" s="3" t="s">
        <v>17</v>
      </c>
      <c r="B3" s="3" t="s">
        <v>60</v>
      </c>
      <c r="C3" s="14">
        <f>SUMIFS('Granular Values'!$F$2:$F$16,'Granular Values'!$A$2:$A$16,'Continuity Group for Granular'!B3)</f>
        <v>4325000</v>
      </c>
    </row>
    <row r="4" spans="1:3" x14ac:dyDescent="0.25">
      <c r="A4" s="3" t="s">
        <v>17</v>
      </c>
      <c r="B4" s="3" t="s">
        <v>61</v>
      </c>
      <c r="C4" s="14">
        <f>SUMIFS('Granular Values'!$F$2:$F$16,'Granular Values'!$A$2:$A$16,'Continuity Group for Granular'!B4)</f>
        <v>6112500</v>
      </c>
    </row>
    <row r="5" spans="1:3" x14ac:dyDescent="0.25">
      <c r="A5" s="3" t="s">
        <v>17</v>
      </c>
      <c r="B5" s="3" t="s">
        <v>62</v>
      </c>
      <c r="C5" s="14">
        <f>SUMIFS('Granular Values'!$F$2:$F$16,'Granular Values'!$A$2:$A$16,'Continuity Group for Granular'!B5)</f>
        <v>400000</v>
      </c>
    </row>
    <row r="6" spans="1:3" x14ac:dyDescent="0.25">
      <c r="A6" s="3" t="s">
        <v>17</v>
      </c>
      <c r="B6" s="3" t="s">
        <v>63</v>
      </c>
      <c r="C6" s="14">
        <f>SUMIFS('Granular Values'!$F$2:$F$16,'Granular Values'!$A$2:$A$16,'Continuity Group for Granular'!B6)</f>
        <v>1250000</v>
      </c>
    </row>
    <row r="7" spans="1:3" x14ac:dyDescent="0.25">
      <c r="A7" s="3" t="s">
        <v>17</v>
      </c>
      <c r="B7" s="3" t="s">
        <v>64</v>
      </c>
      <c r="C7" s="14">
        <f>SUMIFS('Granular Values'!$F$2:$F$16,'Granular Values'!$A$2:$A$16,'Continuity Group for Granular'!B7)</f>
        <v>500000</v>
      </c>
    </row>
    <row r="8" spans="1:3" x14ac:dyDescent="0.25">
      <c r="A8" s="3" t="s">
        <v>17</v>
      </c>
      <c r="B8" s="3" t="s">
        <v>65</v>
      </c>
      <c r="C8" s="14">
        <f>SUMIFS('Granular Values'!$F$2:$F$16,'Granular Values'!$A$2:$A$16,'Continuity Group for Granular'!B8)</f>
        <v>5025000</v>
      </c>
    </row>
    <row r="9" spans="1:3" x14ac:dyDescent="0.25">
      <c r="A9" s="3" t="s">
        <v>17</v>
      </c>
      <c r="B9" s="3" t="s">
        <v>66</v>
      </c>
      <c r="C9" s="14">
        <f>SUMIFS('Granular Values'!$F$2:$F$16,'Granular Values'!$A$2:$A$16,'Continuity Group for Granular'!B9)</f>
        <v>7537500</v>
      </c>
    </row>
    <row r="10" spans="1:3" x14ac:dyDescent="0.25">
      <c r="A10" s="3" t="s">
        <v>17</v>
      </c>
      <c r="B10" s="3" t="s">
        <v>67</v>
      </c>
      <c r="C10" s="14">
        <f>SUMIFS('Granular Values'!$F$2:$F$16,'Granular Values'!$A$2:$A$16,'Continuity Group for Granular'!B10)</f>
        <v>21075000</v>
      </c>
    </row>
    <row r="11" spans="1:3" x14ac:dyDescent="0.25">
      <c r="A11" s="3" t="s">
        <v>17</v>
      </c>
      <c r="B11" s="3" t="s">
        <v>68</v>
      </c>
      <c r="C11" s="14">
        <f>SUMIFS('Granular Values'!$F$2:$F$16,'Granular Values'!$A$2:$A$16,'Continuity Group for Granular'!B11)</f>
        <v>4025000</v>
      </c>
    </row>
    <row r="12" spans="1:3" x14ac:dyDescent="0.25">
      <c r="A12" s="3" t="s">
        <v>18</v>
      </c>
      <c r="B12" s="3" t="s">
        <v>59</v>
      </c>
      <c r="C12" s="14">
        <f>SUMIFS('Granular Values'!$F$2:$F$16,'Granular Values'!$A$2:$A$16,'Continuity Group for Granular'!B12)</f>
        <v>50250000</v>
      </c>
    </row>
    <row r="13" spans="1:3" x14ac:dyDescent="0.25">
      <c r="A13" s="3" t="s">
        <v>26</v>
      </c>
      <c r="B13" s="3" t="s">
        <v>70</v>
      </c>
      <c r="C13" s="14">
        <f>SUMIFS('Granular Values'!$F$2:$F$16,'Granular Values'!$A$2:$A$16,'Continuity Group for Granular'!B13)</f>
        <v>6500000</v>
      </c>
    </row>
    <row r="14" spans="1:3" x14ac:dyDescent="0.25">
      <c r="A14" s="16" t="s">
        <v>105</v>
      </c>
      <c r="B14" s="16" t="s">
        <v>91</v>
      </c>
      <c r="C14" s="18">
        <f>SUMIFS('Granular Values'!$F$2:$F$26,'Granular Values'!$A$2:$A$26,'Continuity Group for Granular'!B14)</f>
        <v>62050000</v>
      </c>
    </row>
    <row r="15" spans="1:3" x14ac:dyDescent="0.25">
      <c r="A15" s="16" t="s">
        <v>106</v>
      </c>
      <c r="B15" s="16" t="s">
        <v>93</v>
      </c>
      <c r="C15" s="18">
        <f>SUMIFS('Granular Values'!$F$2:$F$26,'Granular Values'!$A$2:$A$26,'Continuity Group for Granular'!B15)</f>
        <v>28500000</v>
      </c>
    </row>
    <row r="16" spans="1:3" x14ac:dyDescent="0.25">
      <c r="A16" s="16" t="s">
        <v>106</v>
      </c>
      <c r="B16" s="16" t="s">
        <v>94</v>
      </c>
      <c r="C16" s="18">
        <f>SUMIFS('Granular Values'!$F$2:$F$26,'Granular Values'!$A$2:$A$26,'Continuity Group for Granular'!B16)</f>
        <v>9500000</v>
      </c>
    </row>
    <row r="17" spans="1:3" x14ac:dyDescent="0.25">
      <c r="A17" s="16" t="s">
        <v>106</v>
      </c>
      <c r="B17" s="16" t="s">
        <v>95</v>
      </c>
      <c r="C17" s="18">
        <f>SUMIFS('Granular Values'!$F$2:$F$26,'Granular Values'!$A$2:$A$26,'Continuity Group for Granular'!B17)</f>
        <v>16920000</v>
      </c>
    </row>
    <row r="18" spans="1:3" x14ac:dyDescent="0.25">
      <c r="A18" s="16" t="s">
        <v>106</v>
      </c>
      <c r="B18" s="16" t="s">
        <v>96</v>
      </c>
      <c r="C18" s="18">
        <f>SUMIFS('Granular Values'!$F$2:$F$26,'Granular Values'!$A$2:$A$26,'Continuity Group for Granular'!B18)</f>
        <v>2200000</v>
      </c>
    </row>
    <row r="19" spans="1:3" x14ac:dyDescent="0.25">
      <c r="A19" s="16" t="s">
        <v>107</v>
      </c>
      <c r="B19" s="16" t="s">
        <v>92</v>
      </c>
      <c r="C19" s="18">
        <f>SUMIFS('Granular Values'!$F$2:$F$26,'Granular Values'!$A$2:$A$26,'Continuity Group for Granular'!B19)</f>
        <v>57120000</v>
      </c>
    </row>
    <row r="20" spans="1:3" x14ac:dyDescent="0.25">
      <c r="A20" s="16" t="s">
        <v>108</v>
      </c>
      <c r="B20" s="16" t="s">
        <v>102</v>
      </c>
      <c r="C20" s="18">
        <f>SUMIFS('Granular Values'!$F$2:$F$26,'Granular Values'!$A$2:$A$26,'Continuity Group for Granular'!B20)</f>
        <v>3550000</v>
      </c>
    </row>
    <row r="21" spans="1:3" x14ac:dyDescent="0.25">
      <c r="A21" s="16" t="s">
        <v>109</v>
      </c>
      <c r="B21" s="16" t="s">
        <v>103</v>
      </c>
      <c r="C21" s="18">
        <f>SUMIFS('Granular Values'!$F$2:$F$26,'Granular Values'!$A$2:$A$26,'Continuity Group for Granular'!B21)</f>
        <v>6870000</v>
      </c>
    </row>
    <row r="22" spans="1:3" x14ac:dyDescent="0.25">
      <c r="A22" s="15"/>
      <c r="B22" s="15"/>
    </row>
    <row r="23" spans="1:3" x14ac:dyDescent="0.25">
      <c r="A23" s="15"/>
      <c r="B23" s="15"/>
    </row>
  </sheetData>
  <phoneticPr fontId="3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G11"/>
  <sheetViews>
    <sheetView workbookViewId="0">
      <selection activeCell="F4" sqref="F4"/>
    </sheetView>
  </sheetViews>
  <sheetFormatPr defaultColWidth="11" defaultRowHeight="15.75" x14ac:dyDescent="0.25"/>
  <cols>
    <col min="1" max="1" width="24" bestFit="1" customWidth="1"/>
    <col min="2" max="2" width="7.125" bestFit="1" customWidth="1"/>
    <col min="3" max="3" width="16" bestFit="1" customWidth="1"/>
    <col min="4" max="4" width="27.125" customWidth="1"/>
    <col min="5" max="5" width="13.625" bestFit="1" customWidth="1"/>
    <col min="6" max="6" width="21.625" customWidth="1"/>
    <col min="7" max="7" width="22.5" customWidth="1"/>
  </cols>
  <sheetData>
    <row r="1" spans="1:7" x14ac:dyDescent="0.25">
      <c r="A1" s="2" t="s">
        <v>38</v>
      </c>
      <c r="B1" s="2" t="s">
        <v>3</v>
      </c>
      <c r="C1" s="2" t="s">
        <v>4</v>
      </c>
      <c r="D1" s="2" t="s">
        <v>83</v>
      </c>
      <c r="E1" s="2" t="s">
        <v>12</v>
      </c>
      <c r="F1" s="7" t="s">
        <v>13</v>
      </c>
      <c r="G1" s="7" t="s">
        <v>14</v>
      </c>
    </row>
    <row r="2" spans="1:7" x14ac:dyDescent="0.25">
      <c r="A2" s="3" t="s">
        <v>74</v>
      </c>
      <c r="B2" s="3" t="s">
        <v>5</v>
      </c>
      <c r="C2" s="4" t="s">
        <v>78</v>
      </c>
      <c r="D2" s="3" t="str">
        <f t="shared" ref="D2:D7" si="0">A2&amp;B2</f>
        <v>PV_ExpensesPrior</v>
      </c>
      <c r="E2" s="3">
        <v>1</v>
      </c>
      <c r="F2" s="14">
        <f>IF(AND(B2="Prior",'Actuarial Data'!$I$2="Q1 2023"),SUMIFS('Actuarial Data'!$B$2:$B$19,'Actuarial Data'!$A$2:$A$19,'Primary Values'!C2),IF(AND(B2="Current",'Actuarial Data'!$I$2="Q1 2023"),SUMIFS('Actuarial Data'!$C$2:$C$19,'Actuarial Data'!$A$2:$A$19,'Primary Values'!C2),                                                                                                                                  IF(AND(B2="Prior",'Actuarial Data'!$I$2="Q2 2023"),SUMIFS('Actuarial Data'!$C$2:$C$19,'Actuarial Data'!$A$2:$A$19,'Primary Values'!C2),IF(AND(B2="Current",'Actuarial Data'!$I$2="Q2 2023"),SUMIFS('Actuarial Data'!$D$2:$D$19,'Actuarial Data'!$A$2:$A$19,'Primary Values'!C2),                                                                                                                                 IF(AND(B2="Prior",'Actuarial Data'!$I$2="Q4 2022"),SUMIFS('Actuarial Data'!$E$2:$E$19,'Actuarial Data'!$A$2:$A$19,'Primary Values'!C2),IF(AND(B2="Current",'Actuarial Data'!$I$2="Q4 2022"),SUMIFS('Actuarial Data'!$F$2:$F$19,'Actuarial Data'!$A$2:$A$19,'Primary Values'!C2),                                                                                                                                  IF(AND(B2="Prior",'Actuarial Data'!$I$2="Q3 2022"),SUMIFS('Actuarial Data'!$D$2:$D$19,'Actuarial Data'!$A$2:$A$19,'Primary Values'!C2),IF(AND(B2="Current",'Actuarial Data'!$I$2="Q3 2022"),SUMIFS('Actuarial Data'!$E$2:$E$19,'Actuarial Data'!$A$2:$A$19,'Primary Values'!C2),                                                                                                                                  IF(AND(B2="Prior",'Actuarial Data'!$I$2="Q2 2022"),SUMIFS('Actuarial Data'!$C$2:$C$19,'Actuarial Data'!$A$2:$A$19,'Primary Values'!C2),IF(AND(B2="Current",'Actuarial Data'!$I$2="Q2 2022"),SUMIFS('Actuarial Data'!$D$2:$D$19,'Actuarial Data'!$A$2:$A$19,'Primary Values'!C2)))))))))))</f>
        <v>58500000</v>
      </c>
      <c r="G2" s="14">
        <f>E2*F2</f>
        <v>58500000</v>
      </c>
    </row>
    <row r="3" spans="1:7" x14ac:dyDescent="0.25">
      <c r="A3" s="3" t="s">
        <v>74</v>
      </c>
      <c r="B3" s="3" t="s">
        <v>11</v>
      </c>
      <c r="C3" s="4" t="s">
        <v>78</v>
      </c>
      <c r="D3" s="3" t="str">
        <f t="shared" si="0"/>
        <v>PV_ExpensesCurrent</v>
      </c>
      <c r="E3" s="3">
        <v>1</v>
      </c>
      <c r="F3" s="14">
        <f>IF(AND(B3="Prior",'Actuarial Data'!$I$2="Q1 2023"),SUMIFS('Actuarial Data'!$B$2:$B$19,'Actuarial Data'!$A$2:$A$19,'Primary Values'!C3),IF(AND(B3="Current",'Actuarial Data'!$I$2="Q1 2023"),SUMIFS('Actuarial Data'!$C$2:$C$19,'Actuarial Data'!$A$2:$A$19,'Primary Values'!C3),                                                                                                                                  IF(AND(B3="Prior",'Actuarial Data'!$I$2="Q2 2023"),SUMIFS('Actuarial Data'!$C$2:$C$19,'Actuarial Data'!$A$2:$A$19,'Primary Values'!C3),IF(AND(B3="Current",'Actuarial Data'!$I$2="Q2 2023"),SUMIFS('Actuarial Data'!$D$2:$D$19,'Actuarial Data'!$A$2:$A$19,'Primary Values'!C3),                                                                                                                                 IF(AND(B3="Prior",'Actuarial Data'!$I$2="Q4 2022"),SUMIFS('Actuarial Data'!$E$2:$E$19,'Actuarial Data'!$A$2:$A$19,'Primary Values'!C3),IF(AND(B3="Current",'Actuarial Data'!$I$2="Q4 2022"),SUMIFS('Actuarial Data'!$F$2:$F$19,'Actuarial Data'!$A$2:$A$19,'Primary Values'!C3),                                                                                                                                  IF(AND(B3="Prior",'Actuarial Data'!$I$2="Q3 2022"),SUMIFS('Actuarial Data'!$D$2:$D$19,'Actuarial Data'!$A$2:$A$19,'Primary Values'!C3),IF(AND(B3="Current",'Actuarial Data'!$I$2="Q3 2022"),SUMIFS('Actuarial Data'!$E$2:$E$19,'Actuarial Data'!$A$2:$A$19,'Primary Values'!C3),                                                                                                                                  IF(AND(B3="Prior",'Actuarial Data'!$I$2="Q2 2022"),SUMIFS('Actuarial Data'!$C$2:$C$19,'Actuarial Data'!$A$2:$A$19,'Primary Values'!C3),IF(AND(B3="Current",'Actuarial Data'!$I$2="Q2 2022"),SUMIFS('Actuarial Data'!$D$2:$D$19,'Actuarial Data'!$A$2:$A$19,'Primary Values'!C3)))))))))))</f>
        <v>50250000</v>
      </c>
      <c r="G3" s="14">
        <f t="shared" ref="G3:G7" si="1">E3*F3</f>
        <v>50250000</v>
      </c>
    </row>
    <row r="4" spans="1:7" x14ac:dyDescent="0.25">
      <c r="A4" s="3" t="s">
        <v>75</v>
      </c>
      <c r="B4" s="3" t="s">
        <v>5</v>
      </c>
      <c r="C4" s="4" t="s">
        <v>78</v>
      </c>
      <c r="D4" s="3" t="str">
        <f t="shared" si="0"/>
        <v>Net_ExpensesPrior</v>
      </c>
      <c r="E4" s="3">
        <v>1</v>
      </c>
      <c r="F4" s="14">
        <f>IF(AND(B4="Prior",'Actuarial Data'!$I$2="Q1 2023"),SUMIFS('Actuarial Data'!$B$2:$B$19,'Actuarial Data'!$A$2:$A$19,'Primary Values'!C4),IF(AND(B4="Current",'Actuarial Data'!$I$2="Q1 2023"),SUMIFS('Actuarial Data'!$C$2:$C$19,'Actuarial Data'!$A$2:$A$19,'Primary Values'!C4),                                                                                                                                  IF(AND(B4="Prior",'Actuarial Data'!$I$2="Q2 2023"),SUMIFS('Actuarial Data'!$C$2:$C$19,'Actuarial Data'!$A$2:$A$19,'Primary Values'!C4),IF(AND(B4="Current",'Actuarial Data'!$I$2="Q2 2023"),SUMIFS('Actuarial Data'!$D$2:$D$19,'Actuarial Data'!$A$2:$A$19,'Primary Values'!C4),                                                                                                                                 IF(AND(B4="Prior",'Actuarial Data'!$I$2="Q4 2022"),SUMIFS('Actuarial Data'!$E$2:$E$19,'Actuarial Data'!$A$2:$A$19,'Primary Values'!C4),IF(AND(B4="Current",'Actuarial Data'!$I$2="Q4 2022"),SUMIFS('Actuarial Data'!$F$2:$F$19,'Actuarial Data'!$A$2:$A$19,'Primary Values'!C4),                                                                                                                                  IF(AND(B4="Prior",'Actuarial Data'!$I$2="Q3 2022"),SUMIFS('Actuarial Data'!$D$2:$D$19,'Actuarial Data'!$A$2:$A$19,'Primary Values'!C4),IF(AND(B4="Current",'Actuarial Data'!$I$2="Q3 2022"),SUMIFS('Actuarial Data'!$E$2:$E$19,'Actuarial Data'!$A$2:$A$19,'Primary Values'!C4),                                                                                                                                  IF(AND(B4="Prior",'Actuarial Data'!$I$2="Q2 2022"),SUMIFS('Actuarial Data'!$C$2:$C$19,'Actuarial Data'!$A$2:$A$19,'Primary Values'!C4),IF(AND(B4="Current",'Actuarial Data'!$I$2="Q2 2022"),SUMIFS('Actuarial Data'!$D$2:$D$19,'Actuarial Data'!$A$2:$A$19,'Primary Values'!C4)))))))))))</f>
        <v>58500000</v>
      </c>
      <c r="G4" s="14">
        <f t="shared" si="1"/>
        <v>58500000</v>
      </c>
    </row>
    <row r="5" spans="1:7" x14ac:dyDescent="0.25">
      <c r="A5" s="3" t="s">
        <v>75</v>
      </c>
      <c r="B5" s="3" t="s">
        <v>11</v>
      </c>
      <c r="C5" s="3" t="s">
        <v>37</v>
      </c>
      <c r="D5" s="3" t="str">
        <f t="shared" si="0"/>
        <v>Net_ExpensesCurrent</v>
      </c>
      <c r="E5" s="3">
        <v>-1</v>
      </c>
      <c r="F5" s="14">
        <f>IF(AND(B5="Prior",'Actuarial Data'!$I$2="Q1 2023"),SUMIFS('Actuarial Data'!$B$2:$B$19,'Actuarial Data'!$A$2:$A$19,'Primary Values'!C5),IF(AND(B5="Current",'Actuarial Data'!$I$2="Q1 2023"),SUMIFS('Actuarial Data'!$C$2:$C$19,'Actuarial Data'!$A$2:$A$19,'Primary Values'!C5),                                                                                                                                  IF(AND(B5="Prior",'Actuarial Data'!$I$2="Q2 2023"),SUMIFS('Actuarial Data'!$C$2:$C$19,'Actuarial Data'!$A$2:$A$19,'Primary Values'!C5),IF(AND(B5="Current",'Actuarial Data'!$I$2="Q2 2023"),SUMIFS('Actuarial Data'!$D$2:$D$19,'Actuarial Data'!$A$2:$A$19,'Primary Values'!C5),                                                                                                                                 IF(AND(B5="Prior",'Actuarial Data'!$I$2="Q4 2022"),SUMIFS('Actuarial Data'!$E$2:$E$19,'Actuarial Data'!$A$2:$A$19,'Primary Values'!C5),IF(AND(B5="Current",'Actuarial Data'!$I$2="Q4 2022"),SUMIFS('Actuarial Data'!$F$2:$F$19,'Actuarial Data'!$A$2:$A$19,'Primary Values'!C5),                                                                                                                                  IF(AND(B5="Prior",'Actuarial Data'!$I$2="Q3 2022"),SUMIFS('Actuarial Data'!$D$2:$D$19,'Actuarial Data'!$A$2:$A$19,'Primary Values'!C5),IF(AND(B5="Current",'Actuarial Data'!$I$2="Q3 2022"),SUMIFS('Actuarial Data'!$E$2:$E$19,'Actuarial Data'!$A$2:$A$19,'Primary Values'!C5),                                                                                                                                  IF(AND(B5="Prior",'Actuarial Data'!$I$2="Q2 2022"),SUMIFS('Actuarial Data'!$C$2:$C$19,'Actuarial Data'!$A$2:$A$19,'Primary Values'!C5),IF(AND(B5="Current",'Actuarial Data'!$I$2="Q2 2022"),SUMIFS('Actuarial Data'!$D$2:$D$19,'Actuarial Data'!$A$2:$A$19,'Primary Values'!C5)))))))))))</f>
        <v>5000000</v>
      </c>
      <c r="G5" s="14">
        <f>E5*F5</f>
        <v>-5000000</v>
      </c>
    </row>
    <row r="6" spans="1:7" x14ac:dyDescent="0.25">
      <c r="A6" s="3" t="s">
        <v>75</v>
      </c>
      <c r="B6" s="3" t="s">
        <v>11</v>
      </c>
      <c r="C6" s="3" t="s">
        <v>35</v>
      </c>
      <c r="D6" s="3" t="str">
        <f t="shared" si="0"/>
        <v>Net_ExpensesCurrent</v>
      </c>
      <c r="E6" s="3">
        <v>1</v>
      </c>
      <c r="F6" s="14">
        <f>IF(AND(B6="Prior",'Actuarial Data'!$I$2="Q1 2023"),SUMIFS('Actuarial Data'!$B$2:$B$19,'Actuarial Data'!$A$2:$A$19,'Primary Values'!C6),IF(AND(B6="Current",'Actuarial Data'!$I$2="Q1 2023"),SUMIFS('Actuarial Data'!$C$2:$C$19,'Actuarial Data'!$A$2:$A$19,'Primary Values'!C6),                                                                                                                                  IF(AND(B6="Prior",'Actuarial Data'!$I$2="Q2 2023"),SUMIFS('Actuarial Data'!$C$2:$C$19,'Actuarial Data'!$A$2:$A$19,'Primary Values'!C6),IF(AND(B6="Current",'Actuarial Data'!$I$2="Q2 2023"),SUMIFS('Actuarial Data'!$D$2:$D$19,'Actuarial Data'!$A$2:$A$19,'Primary Values'!C6),                                                                                                                                 IF(AND(B6="Prior",'Actuarial Data'!$I$2="Q4 2022"),SUMIFS('Actuarial Data'!$E$2:$E$19,'Actuarial Data'!$A$2:$A$19,'Primary Values'!C6),IF(AND(B6="Current",'Actuarial Data'!$I$2="Q4 2022"),SUMIFS('Actuarial Data'!$F$2:$F$19,'Actuarial Data'!$A$2:$A$19,'Primary Values'!C6),                                                                                                                                  IF(AND(B6="Prior",'Actuarial Data'!$I$2="Q3 2022"),SUMIFS('Actuarial Data'!$D$2:$D$19,'Actuarial Data'!$A$2:$A$19,'Primary Values'!C6),IF(AND(B6="Current",'Actuarial Data'!$I$2="Q3 2022"),SUMIFS('Actuarial Data'!$E$2:$E$19,'Actuarial Data'!$A$2:$A$19,'Primary Values'!C6),                                                                                                                                  IF(AND(B6="Prior",'Actuarial Data'!$I$2="Q2 2022"),SUMIFS('Actuarial Data'!$C$2:$C$19,'Actuarial Data'!$A$2:$A$19,'Primary Values'!C6),IF(AND(B6="Current",'Actuarial Data'!$I$2="Q2 2022"),SUMIFS('Actuarial Data'!$D$2:$D$19,'Actuarial Data'!$A$2:$A$19,'Primary Values'!C6)))))))))))</f>
        <v>3250000</v>
      </c>
      <c r="G6" s="14">
        <f t="shared" si="1"/>
        <v>3250000</v>
      </c>
    </row>
    <row r="7" spans="1:7" x14ac:dyDescent="0.25">
      <c r="A7" s="3" t="s">
        <v>75</v>
      </c>
      <c r="B7" s="3" t="s">
        <v>11</v>
      </c>
      <c r="C7" s="4" t="s">
        <v>78</v>
      </c>
      <c r="D7" s="3" t="str">
        <f t="shared" si="0"/>
        <v>Net_ExpensesCurrent</v>
      </c>
      <c r="E7" s="3">
        <v>-1</v>
      </c>
      <c r="F7" s="14">
        <f>IF(AND(B7="Prior",'Actuarial Data'!$I$2="Q1 2023"),SUMIFS('Actuarial Data'!$B$2:$B$19,'Actuarial Data'!$A$2:$A$19,'Primary Values'!C7),IF(AND(B7="Current",'Actuarial Data'!$I$2="Q1 2023"),SUMIFS('Actuarial Data'!$C$2:$C$19,'Actuarial Data'!$A$2:$A$19,'Primary Values'!C7),                                                                                                                                  IF(AND(B7="Prior",'Actuarial Data'!$I$2="Q2 2023"),SUMIFS('Actuarial Data'!$C$2:$C$19,'Actuarial Data'!$A$2:$A$19,'Primary Values'!C7),IF(AND(B7="Current",'Actuarial Data'!$I$2="Q2 2023"),SUMIFS('Actuarial Data'!$D$2:$D$19,'Actuarial Data'!$A$2:$A$19,'Primary Values'!C7),                                                                                                                                 IF(AND(B7="Prior",'Actuarial Data'!$I$2="Q4 2022"),SUMIFS('Actuarial Data'!$E$2:$E$19,'Actuarial Data'!$A$2:$A$19,'Primary Values'!C7),IF(AND(B7="Current",'Actuarial Data'!$I$2="Q4 2022"),SUMIFS('Actuarial Data'!$F$2:$F$19,'Actuarial Data'!$A$2:$A$19,'Primary Values'!C7),                                                                                                                                  IF(AND(B7="Prior",'Actuarial Data'!$I$2="Q3 2022"),SUMIFS('Actuarial Data'!$D$2:$D$19,'Actuarial Data'!$A$2:$A$19,'Primary Values'!C7),IF(AND(B7="Current",'Actuarial Data'!$I$2="Q3 2022"),SUMIFS('Actuarial Data'!$E$2:$E$19,'Actuarial Data'!$A$2:$A$19,'Primary Values'!C7),                                                                                                                                  IF(AND(B7="Prior",'Actuarial Data'!$I$2="Q2 2022"),SUMIFS('Actuarial Data'!$C$2:$C$19,'Actuarial Data'!$A$2:$A$19,'Primary Values'!C7),IF(AND(B7="Current",'Actuarial Data'!$I$2="Q2 2022"),SUMIFS('Actuarial Data'!$D$2:$D$19,'Actuarial Data'!$A$2:$A$19,'Primary Values'!C7)))))))))))</f>
        <v>50250000</v>
      </c>
      <c r="G7" s="14">
        <f t="shared" si="1"/>
        <v>-50250000</v>
      </c>
    </row>
    <row r="8" spans="1:7" x14ac:dyDescent="0.25">
      <c r="A8" s="3" t="s">
        <v>89</v>
      </c>
      <c r="B8" s="3" t="s">
        <v>5</v>
      </c>
      <c r="C8" s="4" t="s">
        <v>90</v>
      </c>
      <c r="D8" s="3" t="str">
        <f>A8&amp;B8</f>
        <v>PV_RevenuePrior</v>
      </c>
      <c r="E8" s="3">
        <v>1</v>
      </c>
      <c r="F8" s="14">
        <f>IF(AND(B8="Prior",'Actuarial Data'!$I$2="Q1 2023"),SUMIFS('Actuarial Data'!$B$2:$B$19,'Actuarial Data'!$A$2:$A$19,'Primary Values'!C8),IF(AND(B8="Current",'Actuarial Data'!$I$2="Q1 2023"),SUMIFS('Actuarial Data'!$C$2:$C$19,'Actuarial Data'!$A$2:$A$19,'Primary Values'!C8),                                                                                                                                  IF(AND(B8="Prior",'Actuarial Data'!$I$2="Q2 2023"),SUMIFS('Actuarial Data'!$C$2:$C$19,'Actuarial Data'!$A$2:$A$19,'Primary Values'!C8),IF(AND(B8="Current",'Actuarial Data'!$I$2="Q2 2023"),SUMIFS('Actuarial Data'!$D$2:$D$19,'Actuarial Data'!$A$2:$A$19,'Primary Values'!C8),                                                                                                                                 IF(AND(B8="Prior",'Actuarial Data'!$I$2="Q4 2022"),SUMIFS('Actuarial Data'!$E$2:$E$19,'Actuarial Data'!$A$2:$A$19,'Primary Values'!C8),IF(AND(B8="Current",'Actuarial Data'!$I$2="Q4 2022"),SUMIFS('Actuarial Data'!$F$2:$F$19,'Actuarial Data'!$A$2:$A$19,'Primary Values'!C8),                                                                                                                                  IF(AND(B8="Prior",'Actuarial Data'!$I$2="Q3 2022"),SUMIFS('Actuarial Data'!$D$2:$D$19,'Actuarial Data'!$A$2:$A$19,'Primary Values'!C8),IF(AND(B8="Current",'Actuarial Data'!$I$2="Q3 2022"),SUMIFS('Actuarial Data'!$E$2:$E$19,'Actuarial Data'!$A$2:$A$19,'Primary Values'!C8),                                                                                                                                  IF(AND(B8="Prior",'Actuarial Data'!$I$2="Q2 2022"),SUMIFS('Actuarial Data'!$C$2:$C$19,'Actuarial Data'!$A$2:$A$19,'Primary Values'!C8),IF(AND(B8="Current",'Actuarial Data'!$I$2="Q2 2022"),SUMIFS('Actuarial Data'!$D$2:$D$19,'Actuarial Data'!$A$2:$A$19,'Primary Values'!C8)))))))))))</f>
        <v>62050000</v>
      </c>
      <c r="G8" s="14">
        <f>E8*F8</f>
        <v>62050000</v>
      </c>
    </row>
    <row r="9" spans="1:7" x14ac:dyDescent="0.25">
      <c r="A9" s="3" t="s">
        <v>89</v>
      </c>
      <c r="B9" s="3" t="s">
        <v>11</v>
      </c>
      <c r="C9" s="4" t="s">
        <v>90</v>
      </c>
      <c r="D9" s="3" t="str">
        <f>A9&amp;B9</f>
        <v>PV_RevenueCurrent</v>
      </c>
      <c r="E9" s="3">
        <v>1</v>
      </c>
      <c r="F9" s="14">
        <f>IF(AND(B9="Prior",'Actuarial Data'!$I$2="Q1 2023"),SUMIFS('Actuarial Data'!$B$2:$B$19,'Actuarial Data'!$A$2:$A$19,'Primary Values'!C9),IF(AND(B9="Current",'Actuarial Data'!$I$2="Q1 2023"),SUMIFS('Actuarial Data'!$C$2:$C$19,'Actuarial Data'!$A$2:$A$19,'Primary Values'!C9),                                                                                                                                  IF(AND(B9="Prior",'Actuarial Data'!$I$2="Q2 2023"),SUMIFS('Actuarial Data'!$C$2:$C$19,'Actuarial Data'!$A$2:$A$19,'Primary Values'!C9),IF(AND(B9="Current",'Actuarial Data'!$I$2="Q2 2023"),SUMIFS('Actuarial Data'!$D$2:$D$19,'Actuarial Data'!$A$2:$A$19,'Primary Values'!C9),                                                                                                                                 IF(AND(B9="Prior",'Actuarial Data'!$I$2="Q4 2022"),SUMIFS('Actuarial Data'!$E$2:$E$19,'Actuarial Data'!$A$2:$A$19,'Primary Values'!C9),IF(AND(B9="Current",'Actuarial Data'!$I$2="Q4 2022"),SUMIFS('Actuarial Data'!$F$2:$F$19,'Actuarial Data'!$A$2:$A$19,'Primary Values'!C9),                                                                                                                                  IF(AND(B9="Prior",'Actuarial Data'!$I$2="Q3 2022"),SUMIFS('Actuarial Data'!$D$2:$D$19,'Actuarial Data'!$A$2:$A$19,'Primary Values'!C9),IF(AND(B9="Current",'Actuarial Data'!$I$2="Q3 2022"),SUMIFS('Actuarial Data'!$E$2:$E$19,'Actuarial Data'!$A$2:$A$19,'Primary Values'!C9),                                                                                                                                  IF(AND(B9="Prior",'Actuarial Data'!$I$2="Q2 2022"),SUMIFS('Actuarial Data'!$C$2:$C$19,'Actuarial Data'!$A$2:$A$19,'Primary Values'!C9),IF(AND(B9="Current",'Actuarial Data'!$I$2="Q2 2022"),SUMIFS('Actuarial Data'!$D$2:$D$19,'Actuarial Data'!$A$2:$A$19,'Primary Values'!C9)))))))))))</f>
        <v>57120000</v>
      </c>
      <c r="G9" s="14">
        <f t="shared" ref="G9:G11" si="2">E9*F9</f>
        <v>57120000</v>
      </c>
    </row>
    <row r="10" spans="1:7" x14ac:dyDescent="0.25">
      <c r="A10" s="16" t="s">
        <v>110</v>
      </c>
      <c r="B10" s="16" t="s">
        <v>5</v>
      </c>
      <c r="C10" s="16" t="s">
        <v>101</v>
      </c>
      <c r="D10" s="16" t="str">
        <f>A10&amp;B10</f>
        <v>Net_IncomePrior</v>
      </c>
      <c r="E10" s="3">
        <v>1</v>
      </c>
      <c r="F10" s="14">
        <f>IF(AND(B10="Prior",'Actuarial Data'!$I$2="Q1 2023"),SUMIFS('Actuarial Data'!$B$2:$B$19,'Actuarial Data'!$A$2:$A$19,'Primary Values'!C10),IF(AND(B10="Current",'Actuarial Data'!$I$2="Q1 2023"),SUMIFS('Actuarial Data'!$C$2:$C$19,'Actuarial Data'!$A$2:$A$19,'Primary Values'!C10),                                                                                                                                  IF(AND(B10="Prior",'Actuarial Data'!$I$2="Q2 2023"),SUMIFS('Actuarial Data'!$C$2:$C$19,'Actuarial Data'!$A$2:$A$19,'Primary Values'!C10),IF(AND(B10="Current",'Actuarial Data'!$I$2="Q2 2023"),SUMIFS('Actuarial Data'!$D$2:$D$19,'Actuarial Data'!$A$2:$A$19,'Primary Values'!C10),                                                                                                                                 IF(AND(B10="Prior",'Actuarial Data'!$I$2="Q4 2022"),SUMIFS('Actuarial Data'!$E$2:$E$19,'Actuarial Data'!$A$2:$A$19,'Primary Values'!C10),IF(AND(B10="Current",'Actuarial Data'!$I$2="Q4 2022"),SUMIFS('Actuarial Data'!$F$2:$F$19,'Actuarial Data'!$A$2:$A$19,'Primary Values'!C10),                                                                                                                                  IF(AND(B10="Prior",'Actuarial Data'!$I$2="Q3 2022"),SUMIFS('Actuarial Data'!$D$2:$D$19,'Actuarial Data'!$A$2:$A$19,'Primary Values'!C10),IF(AND(B10="Current",'Actuarial Data'!$I$2="Q3 2022"),SUMIFS('Actuarial Data'!$E$2:$E$19,'Actuarial Data'!$A$2:$A$19,'Primary Values'!C10),                                                                                                                                  IF(AND(B10="Prior",'Actuarial Data'!$I$2="Q2 2022"),SUMIFS('Actuarial Data'!$C$2:$C$19,'Actuarial Data'!$A$2:$A$19,'Primary Values'!C10),IF(AND(B10="Current",'Actuarial Data'!$I$2="Q2 2022"),SUMIFS('Actuarial Data'!$D$2:$D$19,'Actuarial Data'!$A$2:$A$19,'Primary Values'!C10)))))))))))</f>
        <v>3550000</v>
      </c>
      <c r="G10" s="14">
        <f t="shared" si="2"/>
        <v>3550000</v>
      </c>
    </row>
    <row r="11" spans="1:7" x14ac:dyDescent="0.25">
      <c r="A11" s="16" t="s">
        <v>110</v>
      </c>
      <c r="B11" s="16" t="s">
        <v>11</v>
      </c>
      <c r="C11" s="16" t="s">
        <v>101</v>
      </c>
      <c r="D11" s="16" t="str">
        <f>A11&amp;B11</f>
        <v>Net_IncomeCurrent</v>
      </c>
      <c r="E11" s="3">
        <v>1</v>
      </c>
      <c r="F11" s="14">
        <f>IF(AND(B11="Prior",'Actuarial Data'!$I$2="Q1 2023"),SUMIFS('Actuarial Data'!$B$2:$B$19,'Actuarial Data'!$A$2:$A$19,'Primary Values'!C11),IF(AND(B11="Current",'Actuarial Data'!$I$2="Q1 2023"),SUMIFS('Actuarial Data'!$C$2:$C$19,'Actuarial Data'!$A$2:$A$19,'Primary Values'!C11),                                                                                                                                  IF(AND(B11="Prior",'Actuarial Data'!$I$2="Q2 2023"),SUMIFS('Actuarial Data'!$C$2:$C$19,'Actuarial Data'!$A$2:$A$19,'Primary Values'!C11),IF(AND(B11="Current",'Actuarial Data'!$I$2="Q2 2023"),SUMIFS('Actuarial Data'!$D$2:$D$19,'Actuarial Data'!$A$2:$A$19,'Primary Values'!C11),                                                                                                                                 IF(AND(B11="Prior",'Actuarial Data'!$I$2="Q4 2022"),SUMIFS('Actuarial Data'!$E$2:$E$19,'Actuarial Data'!$A$2:$A$19,'Primary Values'!C11),IF(AND(B11="Current",'Actuarial Data'!$I$2="Q4 2022"),SUMIFS('Actuarial Data'!$F$2:$F$19,'Actuarial Data'!$A$2:$A$19,'Primary Values'!C11),                                                                                                                                  IF(AND(B11="Prior",'Actuarial Data'!$I$2="Q3 2022"),SUMIFS('Actuarial Data'!$D$2:$D$19,'Actuarial Data'!$A$2:$A$19,'Primary Values'!C11),IF(AND(B11="Current",'Actuarial Data'!$I$2="Q3 2022"),SUMIFS('Actuarial Data'!$E$2:$E$19,'Actuarial Data'!$A$2:$A$19,'Primary Values'!C11),                                                                                                                                  IF(AND(B11="Prior",'Actuarial Data'!$I$2="Q2 2022"),SUMIFS('Actuarial Data'!$C$2:$C$19,'Actuarial Data'!$A$2:$A$19,'Primary Values'!C11),IF(AND(B11="Current",'Actuarial Data'!$I$2="Q2 2022"),SUMIFS('Actuarial Data'!$D$2:$D$19,'Actuarial Data'!$A$2:$A$19,'Primary Values'!C11)))))))))))</f>
        <v>6870000</v>
      </c>
      <c r="G11" s="14">
        <f t="shared" si="2"/>
        <v>6870000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8" tint="0.59999389629810485"/>
  </sheetPr>
  <dimension ref="A1:F26"/>
  <sheetViews>
    <sheetView topLeftCell="A2" zoomScale="104" zoomScaleNormal="120" workbookViewId="0">
      <selection activeCell="A21" sqref="A21"/>
    </sheetView>
  </sheetViews>
  <sheetFormatPr defaultColWidth="11" defaultRowHeight="15.75" x14ac:dyDescent="0.25"/>
  <cols>
    <col min="1" max="1" width="20" customWidth="1"/>
    <col min="2" max="2" width="12.875" customWidth="1"/>
    <col min="3" max="3" width="43.375" bestFit="1" customWidth="1"/>
    <col min="4" max="4" width="13.625" bestFit="1" customWidth="1"/>
    <col min="5" max="5" width="16.375" style="1" bestFit="1" customWidth="1"/>
    <col min="6" max="6" width="18.125" style="1" customWidth="1"/>
  </cols>
  <sheetData>
    <row r="1" spans="1:6" x14ac:dyDescent="0.25">
      <c r="A1" s="2" t="s">
        <v>0</v>
      </c>
      <c r="B1" s="2" t="s">
        <v>3</v>
      </c>
      <c r="C1" s="2" t="s">
        <v>84</v>
      </c>
      <c r="D1" s="2" t="s">
        <v>12</v>
      </c>
      <c r="E1" s="7" t="s">
        <v>13</v>
      </c>
      <c r="F1" s="7" t="s">
        <v>14</v>
      </c>
    </row>
    <row r="2" spans="1:6" x14ac:dyDescent="0.25">
      <c r="A2" s="3" t="s">
        <v>58</v>
      </c>
      <c r="B2" s="3" t="s">
        <v>5</v>
      </c>
      <c r="C2" s="4" t="s">
        <v>78</v>
      </c>
      <c r="D2" s="3">
        <v>1</v>
      </c>
      <c r="E2" s="14">
        <f>IF(AND(B2="Prior",'Actuarial Data'!$I$2="Q1 2023"),SUMIFS('Actuarial Data'!$B$2:$B$19,'Actuarial Data'!$A$2:$A$19,C2),IF(AND(B2="Current",'Actuarial Data'!$I$2="Q1 2023"),SUMIFS('Actuarial Data'!$C$2:$C$19,'Actuarial Data'!$A$2:$A$19,C2),                                                                                                           IF(AND(B2="Prior",'Actuarial Data'!$I$2="Q2 2023"),SUMIFS('Actuarial Data'!$C$2:$C$19,'Actuarial Data'!$A$2:$A$19,'Granular Values'!C2),IF(AND(B2="Current",'Actuarial Data'!$I$2="Q2 2023"),SUMIFS('Actuarial Data'!$D$2:$D$19,'Actuarial Data'!$A$2:$A$19,'Granular Values'!C2),                                    IF(AND(B2="Prior",'Actuarial Data'!$I$2="Q4 2022"),SUMIFS('Actuarial Data'!$E$2:$E$19,'Actuarial Data'!$A$2:$A$19,'Granular Values'!C2),IF(AND(B2="Current",'Actuarial Data'!$I$2="Q4 2022"),SUMIFS('Actuarial Data'!$F$2:$F$19,'Actuarial Data'!$A$2:$A$19,'Granular Values'!C2),                                    IF(AND(B2="Prior",'Actuarial Data'!$I$2="Q3 2022"),SUMIFS('Actuarial Data'!$D$2:$D$19,'Actuarial Data'!$A$2:$A$19,'Granular Values'!C2),IF(AND(B2="Current",'Actuarial Data'!$I$2="Q3 2022"),SUMIFS('Actuarial Data'!$E$2:$E$19,'Actuarial Data'!$A$2:$A$19,'Granular Values'!C2),                                    IF(AND(B2="Prior",'Actuarial Data'!$I$2="Q2 2022"),SUMIFS('Actuarial Data'!$C$2:$C$19,'Actuarial Data'!$A$2:$A$19,'Granular Values'!C2),IF(AND(B2="Current",'Actuarial Data'!$I$2="Q2 2022"),SUMIFS('Actuarial Data'!$D$2:$D$19,'Actuarial Data'!$A$2:$A$19,'Granular Values'!C2)))))))))))</f>
        <v>58500000</v>
      </c>
      <c r="F2" s="14">
        <f>D2*E2</f>
        <v>58500000</v>
      </c>
    </row>
    <row r="3" spans="1:6" x14ac:dyDescent="0.25">
      <c r="A3" s="3" t="s">
        <v>60</v>
      </c>
      <c r="B3" s="3" t="s">
        <v>11</v>
      </c>
      <c r="C3" s="3" t="s">
        <v>27</v>
      </c>
      <c r="D3" s="3">
        <v>1</v>
      </c>
      <c r="E3" s="14">
        <f>IF(AND(B3="Prior",'Actuarial Data'!$I$2="Q1 2023"),SUMIFS('Actuarial Data'!$B$2:$B$19,'Actuarial Data'!$A$2:$A$19,C3),IF(AND(B3="Current",'Actuarial Data'!$I$2="Q1 2023"),SUMIFS('Actuarial Data'!$C$2:$C$19,'Actuarial Data'!$A$2:$A$19,C3),                                                                                                           IF(AND(B3="Prior",'Actuarial Data'!$I$2="Q2 2023"),SUMIFS('Actuarial Data'!$C$2:$C$19,'Actuarial Data'!$A$2:$A$19,'Granular Values'!C3),IF(AND(B3="Current",'Actuarial Data'!$I$2="Q2 2023"),SUMIFS('Actuarial Data'!$D$2:$D$19,'Actuarial Data'!$A$2:$A$19,'Granular Values'!C3),                                    IF(AND(B3="Prior",'Actuarial Data'!$I$2="Q4 2022"),SUMIFS('Actuarial Data'!$E$2:$E$19,'Actuarial Data'!$A$2:$A$19,'Granular Values'!C3),IF(AND(B3="Current",'Actuarial Data'!$I$2="Q4 2022"),SUMIFS('Actuarial Data'!$F$2:$F$19,'Actuarial Data'!$A$2:$A$19,'Granular Values'!C3),                                    IF(AND(B3="Prior",'Actuarial Data'!$I$2="Q3 2022"),SUMIFS('Actuarial Data'!$D$2:$D$19,'Actuarial Data'!$A$2:$A$19,'Granular Values'!C3),IF(AND(B3="Current",'Actuarial Data'!$I$2="Q3 2022"),SUMIFS('Actuarial Data'!$E$2:$E$19,'Actuarial Data'!$A$2:$A$19,'Granular Values'!C3),                                    IF(AND(B3="Prior",'Actuarial Data'!$I$2="Q2 2022"),SUMIFS('Actuarial Data'!$C$2:$C$19,'Actuarial Data'!$A$2:$A$19,'Granular Values'!C3),IF(AND(B3="Current",'Actuarial Data'!$I$2="Q2 2022"),SUMIFS('Actuarial Data'!$D$2:$D$19,'Actuarial Data'!$A$2:$A$19,'Granular Values'!C3)))))))))))</f>
        <v>4325000</v>
      </c>
      <c r="F3" s="14">
        <f t="shared" ref="F3:F16" si="0">D3*E3</f>
        <v>4325000</v>
      </c>
    </row>
    <row r="4" spans="1:6" x14ac:dyDescent="0.25">
      <c r="A4" s="3" t="s">
        <v>61</v>
      </c>
      <c r="B4" s="3" t="s">
        <v>11</v>
      </c>
      <c r="C4" s="3" t="s">
        <v>36</v>
      </c>
      <c r="D4" s="3">
        <v>1</v>
      </c>
      <c r="E4" s="14">
        <f>IF(AND(B4="Prior",'Actuarial Data'!$I$2="Q1 2023"),SUMIFS('Actuarial Data'!$B$2:$B$19,'Actuarial Data'!$A$2:$A$19,C4),IF(AND(B4="Current",'Actuarial Data'!$I$2="Q1 2023"),SUMIFS('Actuarial Data'!$C$2:$C$19,'Actuarial Data'!$A$2:$A$19,C4),                                                                                                           IF(AND(B4="Prior",'Actuarial Data'!$I$2="Q2 2023"),SUMIFS('Actuarial Data'!$C$2:$C$19,'Actuarial Data'!$A$2:$A$19,'Granular Values'!C4),IF(AND(B4="Current",'Actuarial Data'!$I$2="Q2 2023"),SUMIFS('Actuarial Data'!$D$2:$D$19,'Actuarial Data'!$A$2:$A$19,'Granular Values'!C4),                                    IF(AND(B4="Prior",'Actuarial Data'!$I$2="Q4 2022"),SUMIFS('Actuarial Data'!$E$2:$E$19,'Actuarial Data'!$A$2:$A$19,'Granular Values'!C4),IF(AND(B4="Current",'Actuarial Data'!$I$2="Q4 2022"),SUMIFS('Actuarial Data'!$F$2:$F$19,'Actuarial Data'!$A$2:$A$19,'Granular Values'!C4),                                    IF(AND(B4="Prior",'Actuarial Data'!$I$2="Q3 2022"),SUMIFS('Actuarial Data'!$D$2:$D$19,'Actuarial Data'!$A$2:$A$19,'Granular Values'!C4),IF(AND(B4="Current",'Actuarial Data'!$I$2="Q3 2022"),SUMIFS('Actuarial Data'!$E$2:$E$19,'Actuarial Data'!$A$2:$A$19,'Granular Values'!C4),                                    IF(AND(B4="Prior",'Actuarial Data'!$I$2="Q2 2022"),SUMIFS('Actuarial Data'!$C$2:$C$19,'Actuarial Data'!$A$2:$A$19,'Granular Values'!C4),IF(AND(B4="Current",'Actuarial Data'!$I$2="Q2 2022"),SUMIFS('Actuarial Data'!$D$2:$D$19,'Actuarial Data'!$A$2:$A$19,'Granular Values'!C4)))))))))))</f>
        <v>6112500</v>
      </c>
      <c r="F4" s="14">
        <f t="shared" si="0"/>
        <v>6112500</v>
      </c>
    </row>
    <row r="5" spans="1:6" x14ac:dyDescent="0.25">
      <c r="A5" s="3" t="s">
        <v>62</v>
      </c>
      <c r="B5" s="3" t="s">
        <v>11</v>
      </c>
      <c r="C5" s="3" t="s">
        <v>28</v>
      </c>
      <c r="D5" s="3">
        <v>1</v>
      </c>
      <c r="E5" s="14">
        <f>IF(AND(B5="Prior",'Actuarial Data'!$I$2="Q1 2023"),SUMIFS('Actuarial Data'!$B$2:$B$19,'Actuarial Data'!$A$2:$A$19,C5),IF(AND(B5="Current",'Actuarial Data'!$I$2="Q1 2023"),SUMIFS('Actuarial Data'!$C$2:$C$19,'Actuarial Data'!$A$2:$A$19,C5),                                                                                                           IF(AND(B5="Prior",'Actuarial Data'!$I$2="Q2 2023"),SUMIFS('Actuarial Data'!$C$2:$C$19,'Actuarial Data'!$A$2:$A$19,'Granular Values'!C5),IF(AND(B5="Current",'Actuarial Data'!$I$2="Q2 2023"),SUMIFS('Actuarial Data'!$D$2:$D$19,'Actuarial Data'!$A$2:$A$19,'Granular Values'!C5),                                    IF(AND(B5="Prior",'Actuarial Data'!$I$2="Q4 2022"),SUMIFS('Actuarial Data'!$E$2:$E$19,'Actuarial Data'!$A$2:$A$19,'Granular Values'!C5),IF(AND(B5="Current",'Actuarial Data'!$I$2="Q4 2022"),SUMIFS('Actuarial Data'!$F$2:$F$19,'Actuarial Data'!$A$2:$A$19,'Granular Values'!C5),                                    IF(AND(B5="Prior",'Actuarial Data'!$I$2="Q3 2022"),SUMIFS('Actuarial Data'!$D$2:$D$19,'Actuarial Data'!$A$2:$A$19,'Granular Values'!C5),IF(AND(B5="Current",'Actuarial Data'!$I$2="Q3 2022"),SUMIFS('Actuarial Data'!$E$2:$E$19,'Actuarial Data'!$A$2:$A$19,'Granular Values'!C5),                                    IF(AND(B5="Prior",'Actuarial Data'!$I$2="Q2 2022"),SUMIFS('Actuarial Data'!$C$2:$C$19,'Actuarial Data'!$A$2:$A$19,'Granular Values'!C5),IF(AND(B5="Current",'Actuarial Data'!$I$2="Q2 2022"),SUMIFS('Actuarial Data'!$D$2:$D$19,'Actuarial Data'!$A$2:$A$19,'Granular Values'!C5)))))))))))</f>
        <v>400000</v>
      </c>
      <c r="F5" s="14">
        <f t="shared" si="0"/>
        <v>400000</v>
      </c>
    </row>
    <row r="6" spans="1:6" x14ac:dyDescent="0.25">
      <c r="A6" s="3" t="s">
        <v>63</v>
      </c>
      <c r="B6" s="3" t="s">
        <v>11</v>
      </c>
      <c r="C6" s="3" t="s">
        <v>29</v>
      </c>
      <c r="D6" s="3">
        <v>1</v>
      </c>
      <c r="E6" s="14">
        <f>IF(AND(B6="Prior",'Actuarial Data'!$I$2="Q1 2023"),SUMIFS('Actuarial Data'!$B$2:$B$19,'Actuarial Data'!$A$2:$A$19,C6),IF(AND(B6="Current",'Actuarial Data'!$I$2="Q1 2023"),SUMIFS('Actuarial Data'!$C$2:$C$19,'Actuarial Data'!$A$2:$A$19,C6),                                                                                                           IF(AND(B6="Prior",'Actuarial Data'!$I$2="Q2 2023"),SUMIFS('Actuarial Data'!$C$2:$C$19,'Actuarial Data'!$A$2:$A$19,'Granular Values'!C6),IF(AND(B6="Current",'Actuarial Data'!$I$2="Q2 2023"),SUMIFS('Actuarial Data'!$D$2:$D$19,'Actuarial Data'!$A$2:$A$19,'Granular Values'!C6),                                    IF(AND(B6="Prior",'Actuarial Data'!$I$2="Q4 2022"),SUMIFS('Actuarial Data'!$E$2:$E$19,'Actuarial Data'!$A$2:$A$19,'Granular Values'!C6),IF(AND(B6="Current",'Actuarial Data'!$I$2="Q4 2022"),SUMIFS('Actuarial Data'!$F$2:$F$19,'Actuarial Data'!$A$2:$A$19,'Granular Values'!C6),                                    IF(AND(B6="Prior",'Actuarial Data'!$I$2="Q3 2022"),SUMIFS('Actuarial Data'!$D$2:$D$19,'Actuarial Data'!$A$2:$A$19,'Granular Values'!C6),IF(AND(B6="Current",'Actuarial Data'!$I$2="Q3 2022"),SUMIFS('Actuarial Data'!$E$2:$E$19,'Actuarial Data'!$A$2:$A$19,'Granular Values'!C6),                                    IF(AND(B6="Prior",'Actuarial Data'!$I$2="Q2 2022"),SUMIFS('Actuarial Data'!$C$2:$C$19,'Actuarial Data'!$A$2:$A$19,'Granular Values'!C6),IF(AND(B6="Current",'Actuarial Data'!$I$2="Q2 2022"),SUMIFS('Actuarial Data'!$D$2:$D$19,'Actuarial Data'!$A$2:$A$19,'Granular Values'!C6)))))))))))</f>
        <v>1250000</v>
      </c>
      <c r="F6" s="14">
        <f t="shared" si="0"/>
        <v>1250000</v>
      </c>
    </row>
    <row r="7" spans="1:6" x14ac:dyDescent="0.25">
      <c r="A7" s="3" t="s">
        <v>64</v>
      </c>
      <c r="B7" s="3" t="s">
        <v>11</v>
      </c>
      <c r="C7" s="3" t="s">
        <v>31</v>
      </c>
      <c r="D7" s="3">
        <v>1</v>
      </c>
      <c r="E7" s="14">
        <f>IF(AND(B7="Prior",'Actuarial Data'!$I$2="Q1 2023"),SUMIFS('Actuarial Data'!$B$2:$B$19,'Actuarial Data'!$A$2:$A$19,C7),IF(AND(B7="Current",'Actuarial Data'!$I$2="Q1 2023"),SUMIFS('Actuarial Data'!$C$2:$C$19,'Actuarial Data'!$A$2:$A$19,C7),                                                                                                           IF(AND(B7="Prior",'Actuarial Data'!$I$2="Q2 2023"),SUMIFS('Actuarial Data'!$C$2:$C$19,'Actuarial Data'!$A$2:$A$19,'Granular Values'!C7),IF(AND(B7="Current",'Actuarial Data'!$I$2="Q2 2023"),SUMIFS('Actuarial Data'!$D$2:$D$19,'Actuarial Data'!$A$2:$A$19,'Granular Values'!C7),                                    IF(AND(B7="Prior",'Actuarial Data'!$I$2="Q4 2022"),SUMIFS('Actuarial Data'!$E$2:$E$19,'Actuarial Data'!$A$2:$A$19,'Granular Values'!C7),IF(AND(B7="Current",'Actuarial Data'!$I$2="Q4 2022"),SUMIFS('Actuarial Data'!$F$2:$F$19,'Actuarial Data'!$A$2:$A$19,'Granular Values'!C7),                                    IF(AND(B7="Prior",'Actuarial Data'!$I$2="Q3 2022"),SUMIFS('Actuarial Data'!$D$2:$D$19,'Actuarial Data'!$A$2:$A$19,'Granular Values'!C7),IF(AND(B7="Current",'Actuarial Data'!$I$2="Q3 2022"),SUMIFS('Actuarial Data'!$E$2:$E$19,'Actuarial Data'!$A$2:$A$19,'Granular Values'!C7),                                    IF(AND(B7="Prior",'Actuarial Data'!$I$2="Q2 2022"),SUMIFS('Actuarial Data'!$C$2:$C$19,'Actuarial Data'!$A$2:$A$19,'Granular Values'!C7),IF(AND(B7="Current",'Actuarial Data'!$I$2="Q2 2022"),SUMIFS('Actuarial Data'!$D$2:$D$19,'Actuarial Data'!$A$2:$A$19,'Granular Values'!C7)))))))))))</f>
        <v>500000</v>
      </c>
      <c r="F7" s="14">
        <f t="shared" si="0"/>
        <v>500000</v>
      </c>
    </row>
    <row r="8" spans="1:6" x14ac:dyDescent="0.25">
      <c r="A8" s="3" t="s">
        <v>65</v>
      </c>
      <c r="B8" s="3" t="s">
        <v>11</v>
      </c>
      <c r="C8" s="3" t="s">
        <v>30</v>
      </c>
      <c r="D8" s="3">
        <v>1</v>
      </c>
      <c r="E8" s="14">
        <f>IF(AND(B8="Prior",'Actuarial Data'!$I$2="Q1 2023"),SUMIFS('Actuarial Data'!$B$2:$B$19,'Actuarial Data'!$A$2:$A$19,C8),IF(AND(B8="Current",'Actuarial Data'!$I$2="Q1 2023"),SUMIFS('Actuarial Data'!$C$2:$C$19,'Actuarial Data'!$A$2:$A$19,C8),                                                                                                           IF(AND(B8="Prior",'Actuarial Data'!$I$2="Q2 2023"),SUMIFS('Actuarial Data'!$C$2:$C$19,'Actuarial Data'!$A$2:$A$19,'Granular Values'!C8),IF(AND(B8="Current",'Actuarial Data'!$I$2="Q2 2023"),SUMIFS('Actuarial Data'!$D$2:$D$19,'Actuarial Data'!$A$2:$A$19,'Granular Values'!C8),                                    IF(AND(B8="Prior",'Actuarial Data'!$I$2="Q4 2022"),SUMIFS('Actuarial Data'!$E$2:$E$19,'Actuarial Data'!$A$2:$A$19,'Granular Values'!C8),IF(AND(B8="Current",'Actuarial Data'!$I$2="Q4 2022"),SUMIFS('Actuarial Data'!$F$2:$F$19,'Actuarial Data'!$A$2:$A$19,'Granular Values'!C8),                                    IF(AND(B8="Prior",'Actuarial Data'!$I$2="Q3 2022"),SUMIFS('Actuarial Data'!$D$2:$D$19,'Actuarial Data'!$A$2:$A$19,'Granular Values'!C8),IF(AND(B8="Current",'Actuarial Data'!$I$2="Q3 2022"),SUMIFS('Actuarial Data'!$E$2:$E$19,'Actuarial Data'!$A$2:$A$19,'Granular Values'!C8),                                    IF(AND(B8="Prior",'Actuarial Data'!$I$2="Q2 2022"),SUMIFS('Actuarial Data'!$C$2:$C$19,'Actuarial Data'!$A$2:$A$19,'Granular Values'!C8),IF(AND(B8="Current",'Actuarial Data'!$I$2="Q2 2022"),SUMIFS('Actuarial Data'!$D$2:$D$19,'Actuarial Data'!$A$2:$A$19,'Granular Values'!C8)))))))))))</f>
        <v>5025000</v>
      </c>
      <c r="F8" s="14">
        <f t="shared" si="0"/>
        <v>5025000</v>
      </c>
    </row>
    <row r="9" spans="1:6" x14ac:dyDescent="0.25">
      <c r="A9" s="3" t="s">
        <v>66</v>
      </c>
      <c r="B9" s="3" t="s">
        <v>11</v>
      </c>
      <c r="C9" s="3" t="s">
        <v>32</v>
      </c>
      <c r="D9" s="3">
        <v>1</v>
      </c>
      <c r="E9" s="14">
        <f>IF(AND(B9="Prior",'Actuarial Data'!$I$2="Q1 2023"),SUMIFS('Actuarial Data'!$B$2:$B$19,'Actuarial Data'!$A$2:$A$19,C9),IF(AND(B9="Current",'Actuarial Data'!$I$2="Q1 2023"),SUMIFS('Actuarial Data'!$C$2:$C$19,'Actuarial Data'!$A$2:$A$19,C9),                                                                                                           IF(AND(B9="Prior",'Actuarial Data'!$I$2="Q2 2023"),SUMIFS('Actuarial Data'!$C$2:$C$19,'Actuarial Data'!$A$2:$A$19,'Granular Values'!C9),IF(AND(B9="Current",'Actuarial Data'!$I$2="Q2 2023"),SUMIFS('Actuarial Data'!$D$2:$D$19,'Actuarial Data'!$A$2:$A$19,'Granular Values'!C9),                                    IF(AND(B9="Prior",'Actuarial Data'!$I$2="Q4 2022"),SUMIFS('Actuarial Data'!$E$2:$E$19,'Actuarial Data'!$A$2:$A$19,'Granular Values'!C9),IF(AND(B9="Current",'Actuarial Data'!$I$2="Q4 2022"),SUMIFS('Actuarial Data'!$F$2:$F$19,'Actuarial Data'!$A$2:$A$19,'Granular Values'!C9),                                    IF(AND(B9="Prior",'Actuarial Data'!$I$2="Q3 2022"),SUMIFS('Actuarial Data'!$D$2:$D$19,'Actuarial Data'!$A$2:$A$19,'Granular Values'!C9),IF(AND(B9="Current",'Actuarial Data'!$I$2="Q3 2022"),SUMIFS('Actuarial Data'!$E$2:$E$19,'Actuarial Data'!$A$2:$A$19,'Granular Values'!C9),                                    IF(AND(B9="Prior",'Actuarial Data'!$I$2="Q2 2022"),SUMIFS('Actuarial Data'!$C$2:$C$19,'Actuarial Data'!$A$2:$A$19,'Granular Values'!C9),IF(AND(B9="Current",'Actuarial Data'!$I$2="Q2 2022"),SUMIFS('Actuarial Data'!$D$2:$D$19,'Actuarial Data'!$A$2:$A$19,'Granular Values'!C9)))))))))))</f>
        <v>7537500</v>
      </c>
      <c r="F9" s="14">
        <f t="shared" si="0"/>
        <v>7537500</v>
      </c>
    </row>
    <row r="10" spans="1:6" x14ac:dyDescent="0.25">
      <c r="A10" s="3" t="s">
        <v>67</v>
      </c>
      <c r="B10" s="3" t="s">
        <v>11</v>
      </c>
      <c r="C10" s="3" t="s">
        <v>33</v>
      </c>
      <c r="D10" s="3">
        <v>1</v>
      </c>
      <c r="E10" s="14">
        <f>IF(AND(B10="Prior",'Actuarial Data'!$I$2="Q1 2023"),SUMIFS('Actuarial Data'!$B$2:$B$19,'Actuarial Data'!$A$2:$A$19,C10),IF(AND(B10="Current",'Actuarial Data'!$I$2="Q1 2023"),SUMIFS('Actuarial Data'!$C$2:$C$19,'Actuarial Data'!$A$2:$A$19,C10),                                                                                                           IF(AND(B10="Prior",'Actuarial Data'!$I$2="Q2 2023"),SUMIFS('Actuarial Data'!$C$2:$C$19,'Actuarial Data'!$A$2:$A$19,'Granular Values'!C10),IF(AND(B10="Current",'Actuarial Data'!$I$2="Q2 2023"),SUMIFS('Actuarial Data'!$D$2:$D$19,'Actuarial Data'!$A$2:$A$19,'Granular Values'!C10),                                    IF(AND(B10="Prior",'Actuarial Data'!$I$2="Q4 2022"),SUMIFS('Actuarial Data'!$E$2:$E$19,'Actuarial Data'!$A$2:$A$19,'Granular Values'!C10),IF(AND(B10="Current",'Actuarial Data'!$I$2="Q4 2022"),SUMIFS('Actuarial Data'!$F$2:$F$19,'Actuarial Data'!$A$2:$A$19,'Granular Values'!C10),                                    IF(AND(B10="Prior",'Actuarial Data'!$I$2="Q3 2022"),SUMIFS('Actuarial Data'!$D$2:$D$19,'Actuarial Data'!$A$2:$A$19,'Granular Values'!C10),IF(AND(B10="Current",'Actuarial Data'!$I$2="Q3 2022"),SUMIFS('Actuarial Data'!$E$2:$E$19,'Actuarial Data'!$A$2:$A$19,'Granular Values'!C10),                                    IF(AND(B10="Prior",'Actuarial Data'!$I$2="Q2 2022"),SUMIFS('Actuarial Data'!$C$2:$C$19,'Actuarial Data'!$A$2:$A$19,'Granular Values'!C10),IF(AND(B10="Current",'Actuarial Data'!$I$2="Q2 2022"),SUMIFS('Actuarial Data'!$D$2:$D$19,'Actuarial Data'!$A$2:$A$19,'Granular Values'!C10)))))))))))</f>
        <v>21075000</v>
      </c>
      <c r="F10" s="14">
        <f t="shared" si="0"/>
        <v>21075000</v>
      </c>
    </row>
    <row r="11" spans="1:6" x14ac:dyDescent="0.25">
      <c r="A11" s="3" t="s">
        <v>68</v>
      </c>
      <c r="B11" s="3" t="s">
        <v>11</v>
      </c>
      <c r="C11" s="3" t="s">
        <v>34</v>
      </c>
      <c r="D11" s="3">
        <v>1</v>
      </c>
      <c r="E11" s="14">
        <f>IF(AND(B11="Prior",'Actuarial Data'!$I$2="Q1 2023"),SUMIFS('Actuarial Data'!$B$2:$B$19,'Actuarial Data'!$A$2:$A$19,C11),IF(AND(B11="Current",'Actuarial Data'!$I$2="Q1 2023"),SUMIFS('Actuarial Data'!$C$2:$C$19,'Actuarial Data'!$A$2:$A$19,C11),                                                                                                           IF(AND(B11="Prior",'Actuarial Data'!$I$2="Q2 2023"),SUMIFS('Actuarial Data'!$C$2:$C$19,'Actuarial Data'!$A$2:$A$19,'Granular Values'!C11),IF(AND(B11="Current",'Actuarial Data'!$I$2="Q2 2023"),SUMIFS('Actuarial Data'!$D$2:$D$19,'Actuarial Data'!$A$2:$A$19,'Granular Values'!C11),                                    IF(AND(B11="Prior",'Actuarial Data'!$I$2="Q4 2022"),SUMIFS('Actuarial Data'!$E$2:$E$19,'Actuarial Data'!$A$2:$A$19,'Granular Values'!C11),IF(AND(B11="Current",'Actuarial Data'!$I$2="Q4 2022"),SUMIFS('Actuarial Data'!$F$2:$F$19,'Actuarial Data'!$A$2:$A$19,'Granular Values'!C11),                                    IF(AND(B11="Prior",'Actuarial Data'!$I$2="Q3 2022"),SUMIFS('Actuarial Data'!$D$2:$D$19,'Actuarial Data'!$A$2:$A$19,'Granular Values'!C11),IF(AND(B11="Current",'Actuarial Data'!$I$2="Q3 2022"),SUMIFS('Actuarial Data'!$E$2:$E$19,'Actuarial Data'!$A$2:$A$19,'Granular Values'!C11),                                    IF(AND(B11="Prior",'Actuarial Data'!$I$2="Q2 2022"),SUMIFS('Actuarial Data'!$C$2:$C$19,'Actuarial Data'!$A$2:$A$19,'Granular Values'!C11),IF(AND(B11="Current",'Actuarial Data'!$I$2="Q2 2022"),SUMIFS('Actuarial Data'!$D$2:$D$19,'Actuarial Data'!$A$2:$A$19,'Granular Values'!C11)))))))))))</f>
        <v>4025000</v>
      </c>
      <c r="F11" s="14">
        <f t="shared" si="0"/>
        <v>4025000</v>
      </c>
    </row>
    <row r="12" spans="1:6" x14ac:dyDescent="0.25">
      <c r="A12" s="3" t="s">
        <v>59</v>
      </c>
      <c r="B12" s="3" t="s">
        <v>11</v>
      </c>
      <c r="C12" s="4" t="s">
        <v>78</v>
      </c>
      <c r="D12" s="3">
        <v>1</v>
      </c>
      <c r="E12" s="14">
        <f>IF(AND(B12="Prior",'Actuarial Data'!$I$2="Q1 2023"),SUMIFS('Actuarial Data'!$B$2:$B$19,'Actuarial Data'!$A$2:$A$19,C12),IF(AND(B12="Current",'Actuarial Data'!$I$2="Q1 2023"),SUMIFS('Actuarial Data'!$C$2:$C$19,'Actuarial Data'!$A$2:$A$19,C12),                                                                                                           IF(AND(B12="Prior",'Actuarial Data'!$I$2="Q2 2023"),SUMIFS('Actuarial Data'!$C$2:$C$19,'Actuarial Data'!$A$2:$A$19,'Granular Values'!C12),IF(AND(B12="Current",'Actuarial Data'!$I$2="Q2 2023"),SUMIFS('Actuarial Data'!$D$2:$D$19,'Actuarial Data'!$A$2:$A$19,'Granular Values'!C12),                                    IF(AND(B12="Prior",'Actuarial Data'!$I$2="Q4 2022"),SUMIFS('Actuarial Data'!$E$2:$E$19,'Actuarial Data'!$A$2:$A$19,'Granular Values'!C12),IF(AND(B12="Current",'Actuarial Data'!$I$2="Q4 2022"),SUMIFS('Actuarial Data'!$F$2:$F$19,'Actuarial Data'!$A$2:$A$19,'Granular Values'!C12),                                    IF(AND(B12="Prior",'Actuarial Data'!$I$2="Q3 2022"),SUMIFS('Actuarial Data'!$D$2:$D$19,'Actuarial Data'!$A$2:$A$19,'Granular Values'!C12),IF(AND(B12="Current",'Actuarial Data'!$I$2="Q3 2022"),SUMIFS('Actuarial Data'!$E$2:$E$19,'Actuarial Data'!$A$2:$A$19,'Granular Values'!C12),                                    IF(AND(B12="Prior",'Actuarial Data'!$I$2="Q2 2022"),SUMIFS('Actuarial Data'!$C$2:$C$19,'Actuarial Data'!$A$2:$A$19,'Granular Values'!C12),IF(AND(B12="Current",'Actuarial Data'!$I$2="Q2 2022"),SUMIFS('Actuarial Data'!$D$2:$D$19,'Actuarial Data'!$A$2:$A$19,'Granular Values'!C12)))))))))))</f>
        <v>50250000</v>
      </c>
      <c r="F12" s="14">
        <f t="shared" si="0"/>
        <v>50250000</v>
      </c>
    </row>
    <row r="13" spans="1:6" x14ac:dyDescent="0.25">
      <c r="A13" s="10" t="s">
        <v>70</v>
      </c>
      <c r="B13" s="10" t="s">
        <v>5</v>
      </c>
      <c r="C13" s="4" t="s">
        <v>78</v>
      </c>
      <c r="D13" s="10">
        <v>1</v>
      </c>
      <c r="E13" s="14">
        <f>IF(AND(B13="Prior",'Actuarial Data'!$I$2="Q1 2023"),SUMIFS('Actuarial Data'!$B$2:$B$19,'Actuarial Data'!$A$2:$A$19,C13),IF(AND(B13="Current",'Actuarial Data'!$I$2="Q1 2023"),SUMIFS('Actuarial Data'!$C$2:$C$19,'Actuarial Data'!$A$2:$A$19,C13),                                                                                                           IF(AND(B13="Prior",'Actuarial Data'!$I$2="Q2 2023"),SUMIFS('Actuarial Data'!$C$2:$C$19,'Actuarial Data'!$A$2:$A$19,'Granular Values'!C13),IF(AND(B13="Current",'Actuarial Data'!$I$2="Q2 2023"),SUMIFS('Actuarial Data'!$D$2:$D$19,'Actuarial Data'!$A$2:$A$19,'Granular Values'!C13),                                    IF(AND(B13="Prior",'Actuarial Data'!$I$2="Q4 2022"),SUMIFS('Actuarial Data'!$E$2:$E$19,'Actuarial Data'!$A$2:$A$19,'Granular Values'!C13),IF(AND(B13="Current",'Actuarial Data'!$I$2="Q4 2022"),SUMIFS('Actuarial Data'!$F$2:$F$19,'Actuarial Data'!$A$2:$A$19,'Granular Values'!C13),                                    IF(AND(B13="Prior",'Actuarial Data'!$I$2="Q3 2022"),SUMIFS('Actuarial Data'!$D$2:$D$19,'Actuarial Data'!$A$2:$A$19,'Granular Values'!C13),IF(AND(B13="Current",'Actuarial Data'!$I$2="Q3 2022"),SUMIFS('Actuarial Data'!$E$2:$E$19,'Actuarial Data'!$A$2:$A$19,'Granular Values'!C13),                                    IF(AND(B13="Prior",'Actuarial Data'!$I$2="Q2 2022"),SUMIFS('Actuarial Data'!$C$2:$C$19,'Actuarial Data'!$A$2:$A$19,'Granular Values'!C13),IF(AND(B13="Current",'Actuarial Data'!$I$2="Q2 2022"),SUMIFS('Actuarial Data'!$D$2:$D$19,'Actuarial Data'!$A$2:$A$19,'Granular Values'!C13)))))))))))</f>
        <v>58500000</v>
      </c>
      <c r="F13" s="14">
        <f t="shared" si="0"/>
        <v>58500000</v>
      </c>
    </row>
    <row r="14" spans="1:6" x14ac:dyDescent="0.25">
      <c r="A14" s="10" t="s">
        <v>70</v>
      </c>
      <c r="B14" s="3" t="s">
        <v>11</v>
      </c>
      <c r="C14" s="4" t="s">
        <v>37</v>
      </c>
      <c r="D14" s="3">
        <v>-1</v>
      </c>
      <c r="E14" s="14">
        <f>IF(AND(B14="Prior",'Actuarial Data'!$I$2="Q1 2023"),SUMIFS('Actuarial Data'!$B$2:$B$19,'Actuarial Data'!$A$2:$A$19,C14),IF(AND(B14="Current",'Actuarial Data'!$I$2="Q1 2023"),SUMIFS('Actuarial Data'!$C$2:$C$19,'Actuarial Data'!$A$2:$A$19,C14),                                                                                                           IF(AND(B14="Prior",'Actuarial Data'!$I$2="Q2 2023"),SUMIFS('Actuarial Data'!$C$2:$C$19,'Actuarial Data'!$A$2:$A$19,'Granular Values'!C14),IF(AND(B14="Current",'Actuarial Data'!$I$2="Q2 2023"),SUMIFS('Actuarial Data'!$D$2:$D$19,'Actuarial Data'!$A$2:$A$19,'Granular Values'!C14),                                    IF(AND(B14="Prior",'Actuarial Data'!$I$2="Q4 2022"),SUMIFS('Actuarial Data'!$E$2:$E$19,'Actuarial Data'!$A$2:$A$19,'Granular Values'!C14),IF(AND(B14="Current",'Actuarial Data'!$I$2="Q4 2022"),SUMIFS('Actuarial Data'!$F$2:$F$19,'Actuarial Data'!$A$2:$A$19,'Granular Values'!C14),                                    IF(AND(B14="Prior",'Actuarial Data'!$I$2="Q3 2022"),SUMIFS('Actuarial Data'!$D$2:$D$19,'Actuarial Data'!$A$2:$A$19,'Granular Values'!C14),IF(AND(B14="Current",'Actuarial Data'!$I$2="Q3 2022"),SUMIFS('Actuarial Data'!$E$2:$E$19,'Actuarial Data'!$A$2:$A$19,'Granular Values'!C14),                                    IF(AND(B14="Prior",'Actuarial Data'!$I$2="Q2 2022"),SUMIFS('Actuarial Data'!$C$2:$C$19,'Actuarial Data'!$A$2:$A$19,'Granular Values'!C14),IF(AND(B14="Current",'Actuarial Data'!$I$2="Q2 2022"),SUMIFS('Actuarial Data'!$D$2:$D$19,'Actuarial Data'!$A$2:$A$19,'Granular Values'!C14)))))))))))</f>
        <v>5000000</v>
      </c>
      <c r="F14" s="14">
        <f t="shared" si="0"/>
        <v>-5000000</v>
      </c>
    </row>
    <row r="15" spans="1:6" x14ac:dyDescent="0.25">
      <c r="A15" s="10" t="s">
        <v>70</v>
      </c>
      <c r="B15" s="3" t="s">
        <v>11</v>
      </c>
      <c r="C15" s="3" t="s">
        <v>35</v>
      </c>
      <c r="D15" s="3">
        <v>1</v>
      </c>
      <c r="E15" s="14">
        <f>IF(AND(B15="Prior",'Actuarial Data'!$I$2="Q1 2023"),SUMIFS('Actuarial Data'!$B$2:$B$19,'Actuarial Data'!$A$2:$A$19,C15),IF(AND(B15="Current",'Actuarial Data'!$I$2="Q1 2023"),SUMIFS('Actuarial Data'!$C$2:$C$19,'Actuarial Data'!$A$2:$A$19,C15),                                                                                                           IF(AND(B15="Prior",'Actuarial Data'!$I$2="Q2 2023"),SUMIFS('Actuarial Data'!$C$2:$C$19,'Actuarial Data'!$A$2:$A$19,'Granular Values'!C15),IF(AND(B15="Current",'Actuarial Data'!$I$2="Q2 2023"),SUMIFS('Actuarial Data'!$D$2:$D$19,'Actuarial Data'!$A$2:$A$19,'Granular Values'!C15),                                    IF(AND(B15="Prior",'Actuarial Data'!$I$2="Q4 2022"),SUMIFS('Actuarial Data'!$E$2:$E$19,'Actuarial Data'!$A$2:$A$19,'Granular Values'!C15),IF(AND(B15="Current",'Actuarial Data'!$I$2="Q4 2022"),SUMIFS('Actuarial Data'!$F$2:$F$19,'Actuarial Data'!$A$2:$A$19,'Granular Values'!C15),                                    IF(AND(B15="Prior",'Actuarial Data'!$I$2="Q3 2022"),SUMIFS('Actuarial Data'!$D$2:$D$19,'Actuarial Data'!$A$2:$A$19,'Granular Values'!C15),IF(AND(B15="Current",'Actuarial Data'!$I$2="Q3 2022"),SUMIFS('Actuarial Data'!$E$2:$E$19,'Actuarial Data'!$A$2:$A$19,'Granular Values'!C15),                                    IF(AND(B15="Prior",'Actuarial Data'!$I$2="Q2 2022"),SUMIFS('Actuarial Data'!$C$2:$C$19,'Actuarial Data'!$A$2:$A$19,'Granular Values'!C15),IF(AND(B15="Current",'Actuarial Data'!$I$2="Q2 2022"),SUMIFS('Actuarial Data'!$D$2:$D$19,'Actuarial Data'!$A$2:$A$19,'Granular Values'!C15)))))))))))</f>
        <v>3250000</v>
      </c>
      <c r="F15" s="14">
        <f t="shared" si="0"/>
        <v>3250000</v>
      </c>
    </row>
    <row r="16" spans="1:6" x14ac:dyDescent="0.25">
      <c r="A16" s="3" t="s">
        <v>70</v>
      </c>
      <c r="B16" s="3" t="s">
        <v>11</v>
      </c>
      <c r="C16" s="4" t="s">
        <v>78</v>
      </c>
      <c r="D16" s="3">
        <v>-1</v>
      </c>
      <c r="E16" s="14">
        <f>IF(AND(B16="Prior",'Actuarial Data'!$I$2="Q1 2023"),SUMIFS('Actuarial Data'!$B$2:$B$19,'Actuarial Data'!$A$2:$A$19,C16),IF(AND(B16="Current",'Actuarial Data'!$I$2="Q1 2023"),SUMIFS('Actuarial Data'!$C$2:$C$19,'Actuarial Data'!$A$2:$A$19,C16),                                                                                                           IF(AND(B16="Prior",'Actuarial Data'!$I$2="Q2 2023"),SUMIFS('Actuarial Data'!$C$2:$C$19,'Actuarial Data'!$A$2:$A$19,'Granular Values'!C16),IF(AND(B16="Current",'Actuarial Data'!$I$2="Q2 2023"),SUMIFS('Actuarial Data'!$D$2:$D$19,'Actuarial Data'!$A$2:$A$19,'Granular Values'!C16),                                    IF(AND(B16="Prior",'Actuarial Data'!$I$2="Q4 2022"),SUMIFS('Actuarial Data'!$E$2:$E$19,'Actuarial Data'!$A$2:$A$19,'Granular Values'!C16),IF(AND(B16="Current",'Actuarial Data'!$I$2="Q4 2022"),SUMIFS('Actuarial Data'!$F$2:$F$19,'Actuarial Data'!$A$2:$A$19,'Granular Values'!C16),                                    IF(AND(B16="Prior",'Actuarial Data'!$I$2="Q3 2022"),SUMIFS('Actuarial Data'!$D$2:$D$19,'Actuarial Data'!$A$2:$A$19,'Granular Values'!C16),IF(AND(B16="Current",'Actuarial Data'!$I$2="Q3 2022"),SUMIFS('Actuarial Data'!$E$2:$E$19,'Actuarial Data'!$A$2:$A$19,'Granular Values'!C16),                                    IF(AND(B16="Prior",'Actuarial Data'!$I$2="Q2 2022"),SUMIFS('Actuarial Data'!$C$2:$C$19,'Actuarial Data'!$A$2:$A$19,'Granular Values'!C16),IF(AND(B16="Current",'Actuarial Data'!$I$2="Q2 2022"),SUMIFS('Actuarial Data'!$D$2:$D$19,'Actuarial Data'!$A$2:$A$19,'Granular Values'!C16)))))))))))</f>
        <v>50250000</v>
      </c>
      <c r="F16" s="14">
        <f t="shared" si="0"/>
        <v>-50250000</v>
      </c>
    </row>
    <row r="17" spans="1:6" x14ac:dyDescent="0.25">
      <c r="A17" s="16" t="s">
        <v>91</v>
      </c>
      <c r="B17" s="16" t="s">
        <v>5</v>
      </c>
      <c r="C17" s="16" t="s">
        <v>90</v>
      </c>
      <c r="D17" s="3">
        <v>1</v>
      </c>
      <c r="E17" s="14">
        <f>IF(AND(B17="Prior",'Actuarial Data'!$I$2="Q1 2023"),SUMIFS('Actuarial Data'!$B$2:$B$19,'Actuarial Data'!$A$2:$A$19,C17),IF(AND(B17="Current",'Actuarial Data'!$I$2="Q1 2023"),SUMIFS('Actuarial Data'!$C$2:$C$19,'Actuarial Data'!$A$2:$A$19,C17),                                                                                                           IF(AND(B17="Prior",'Actuarial Data'!$I$2="Q2 2023"),SUMIFS('Actuarial Data'!$C$2:$C$19,'Actuarial Data'!$A$2:$A$19,'Granular Values'!C17),IF(AND(B17="Current",'Actuarial Data'!$I$2="Q2 2023"),SUMIFS('Actuarial Data'!$D$2:$D$19,'Actuarial Data'!$A$2:$A$19,'Granular Values'!C17),                                    IF(AND(B17="Prior",'Actuarial Data'!$I$2="Q4 2022"),SUMIFS('Actuarial Data'!$E$2:$E$19,'Actuarial Data'!$A$2:$A$19,'Granular Values'!C17),IF(AND(B17="Current",'Actuarial Data'!$I$2="Q4 2022"),SUMIFS('Actuarial Data'!$F$2:$F$19,'Actuarial Data'!$A$2:$A$19,'Granular Values'!C17),                                    IF(AND(B17="Prior",'Actuarial Data'!$I$2="Q3 2022"),SUMIFS('Actuarial Data'!$D$2:$D$19,'Actuarial Data'!$A$2:$A$19,'Granular Values'!C17),IF(AND(B17="Current",'Actuarial Data'!$I$2="Q3 2022"),SUMIFS('Actuarial Data'!$E$2:$E$19,'Actuarial Data'!$A$2:$A$19,'Granular Values'!C17),                                    IF(AND(B17="Prior",'Actuarial Data'!$I$2="Q2 2022"),SUMIFS('Actuarial Data'!$C$2:$C$19,'Actuarial Data'!$A$2:$A$19,'Granular Values'!C17),IF(AND(B17="Current",'Actuarial Data'!$I$2="Q2 2022"),SUMIFS('Actuarial Data'!$D$2:$D$19,'Actuarial Data'!$A$2:$A$19,'Granular Values'!C17)))))))))))</f>
        <v>62050000</v>
      </c>
      <c r="F17" s="5">
        <f>D17*E17</f>
        <v>62050000</v>
      </c>
    </row>
    <row r="18" spans="1:6" x14ac:dyDescent="0.25">
      <c r="A18" s="16" t="s">
        <v>92</v>
      </c>
      <c r="B18" s="16" t="s">
        <v>11</v>
      </c>
      <c r="C18" s="16" t="s">
        <v>90</v>
      </c>
      <c r="D18" s="3">
        <v>1</v>
      </c>
      <c r="E18" s="14">
        <f>IF(AND(B18="Prior",'Actuarial Data'!$I$2="Q1 2023"),SUMIFS('Actuarial Data'!$B$2:$B$19,'Actuarial Data'!$A$2:$A$19,C18),IF(AND(B18="Current",'Actuarial Data'!$I$2="Q1 2023"),SUMIFS('Actuarial Data'!$C$2:$C$19,'Actuarial Data'!$A$2:$A$19,C18),                                                                                                           IF(AND(B18="Prior",'Actuarial Data'!$I$2="Q2 2023"),SUMIFS('Actuarial Data'!$C$2:$C$19,'Actuarial Data'!$A$2:$A$19,'Granular Values'!C18),IF(AND(B18="Current",'Actuarial Data'!$I$2="Q2 2023"),SUMIFS('Actuarial Data'!$D$2:$D$19,'Actuarial Data'!$A$2:$A$19,'Granular Values'!C18),                                    IF(AND(B18="Prior",'Actuarial Data'!$I$2="Q4 2022"),SUMIFS('Actuarial Data'!$E$2:$E$19,'Actuarial Data'!$A$2:$A$19,'Granular Values'!C18),IF(AND(B18="Current",'Actuarial Data'!$I$2="Q4 2022"),SUMIFS('Actuarial Data'!$F$2:$F$19,'Actuarial Data'!$A$2:$A$19,'Granular Values'!C18),                                    IF(AND(B18="Prior",'Actuarial Data'!$I$2="Q3 2022"),SUMIFS('Actuarial Data'!$D$2:$D$19,'Actuarial Data'!$A$2:$A$19,'Granular Values'!C18),IF(AND(B18="Current",'Actuarial Data'!$I$2="Q3 2022"),SUMIFS('Actuarial Data'!$E$2:$E$19,'Actuarial Data'!$A$2:$A$19,'Granular Values'!C18),                                    IF(AND(B18="Prior",'Actuarial Data'!$I$2="Q2 2022"),SUMIFS('Actuarial Data'!$C$2:$C$19,'Actuarial Data'!$A$2:$A$19,'Granular Values'!C18),IF(AND(B18="Current",'Actuarial Data'!$I$2="Q2 2022"),SUMIFS('Actuarial Data'!$D$2:$D$19,'Actuarial Data'!$A$2:$A$19,'Granular Values'!C18)))))))))))</f>
        <v>57120000</v>
      </c>
      <c r="F18" s="5">
        <f t="shared" ref="F18:F26" si="1">D18*E18</f>
        <v>57120000</v>
      </c>
    </row>
    <row r="19" spans="1:6" x14ac:dyDescent="0.25">
      <c r="A19" s="16" t="s">
        <v>93</v>
      </c>
      <c r="B19" s="16" t="s">
        <v>11</v>
      </c>
      <c r="C19" s="16" t="s">
        <v>97</v>
      </c>
      <c r="D19" s="3">
        <v>1</v>
      </c>
      <c r="E19" s="14">
        <f>IF(AND(B19="Prior",'Actuarial Data'!$I$2="Q1 2023"),SUMIFS('Actuarial Data'!$B$2:$B$19,'Actuarial Data'!$A$2:$A$19,C19),IF(AND(B19="Current",'Actuarial Data'!$I$2="Q1 2023"),SUMIFS('Actuarial Data'!$C$2:$C$19,'Actuarial Data'!$A$2:$A$19,C19),                                                                                                           IF(AND(B19="Prior",'Actuarial Data'!$I$2="Q2 2023"),SUMIFS('Actuarial Data'!$C$2:$C$19,'Actuarial Data'!$A$2:$A$19,'Granular Values'!C19),IF(AND(B19="Current",'Actuarial Data'!$I$2="Q2 2023"),SUMIFS('Actuarial Data'!$D$2:$D$19,'Actuarial Data'!$A$2:$A$19,'Granular Values'!C19),                                    IF(AND(B19="Prior",'Actuarial Data'!$I$2="Q4 2022"),SUMIFS('Actuarial Data'!$E$2:$E$19,'Actuarial Data'!$A$2:$A$19,'Granular Values'!C19),IF(AND(B19="Current",'Actuarial Data'!$I$2="Q4 2022"),SUMIFS('Actuarial Data'!$F$2:$F$19,'Actuarial Data'!$A$2:$A$19,'Granular Values'!C19),                                    IF(AND(B19="Prior",'Actuarial Data'!$I$2="Q3 2022"),SUMIFS('Actuarial Data'!$D$2:$D$19,'Actuarial Data'!$A$2:$A$19,'Granular Values'!C19),IF(AND(B19="Current",'Actuarial Data'!$I$2="Q3 2022"),SUMIFS('Actuarial Data'!$E$2:$E$19,'Actuarial Data'!$A$2:$A$19,'Granular Values'!C19),                                    IF(AND(B19="Prior",'Actuarial Data'!$I$2="Q2 2022"),SUMIFS('Actuarial Data'!$C$2:$C$19,'Actuarial Data'!$A$2:$A$19,'Granular Values'!C19),IF(AND(B19="Current",'Actuarial Data'!$I$2="Q2 2022"),SUMIFS('Actuarial Data'!$D$2:$D$19,'Actuarial Data'!$A$2:$A$19,'Granular Values'!C19)))))))))))</f>
        <v>28500000</v>
      </c>
      <c r="F19" s="5">
        <f t="shared" si="1"/>
        <v>28500000</v>
      </c>
    </row>
    <row r="20" spans="1:6" x14ac:dyDescent="0.25">
      <c r="A20" s="16" t="s">
        <v>94</v>
      </c>
      <c r="B20" s="16" t="s">
        <v>11</v>
      </c>
      <c r="C20" s="16" t="s">
        <v>98</v>
      </c>
      <c r="D20" s="3">
        <v>1</v>
      </c>
      <c r="E20" s="14">
        <f>IF(AND(B20="Prior",'Actuarial Data'!$I$2="Q1 2023"),SUMIFS('Actuarial Data'!$B$2:$B$19,'Actuarial Data'!$A$2:$A$19,C20),IF(AND(B20="Current",'Actuarial Data'!$I$2="Q1 2023"),SUMIFS('Actuarial Data'!$C$2:$C$19,'Actuarial Data'!$A$2:$A$19,C20),                                                                                                           IF(AND(B20="Prior",'Actuarial Data'!$I$2="Q2 2023"),SUMIFS('Actuarial Data'!$C$2:$C$19,'Actuarial Data'!$A$2:$A$19,'Granular Values'!C20),IF(AND(B20="Current",'Actuarial Data'!$I$2="Q2 2023"),SUMIFS('Actuarial Data'!$D$2:$D$19,'Actuarial Data'!$A$2:$A$19,'Granular Values'!C20),                                    IF(AND(B20="Prior",'Actuarial Data'!$I$2="Q4 2022"),SUMIFS('Actuarial Data'!$E$2:$E$19,'Actuarial Data'!$A$2:$A$19,'Granular Values'!C20),IF(AND(B20="Current",'Actuarial Data'!$I$2="Q4 2022"),SUMIFS('Actuarial Data'!$F$2:$F$19,'Actuarial Data'!$A$2:$A$19,'Granular Values'!C20),                                    IF(AND(B20="Prior",'Actuarial Data'!$I$2="Q3 2022"),SUMIFS('Actuarial Data'!$D$2:$D$19,'Actuarial Data'!$A$2:$A$19,'Granular Values'!C20),IF(AND(B20="Current",'Actuarial Data'!$I$2="Q3 2022"),SUMIFS('Actuarial Data'!$E$2:$E$19,'Actuarial Data'!$A$2:$A$19,'Granular Values'!C20),                                    IF(AND(B20="Prior",'Actuarial Data'!$I$2="Q2 2022"),SUMIFS('Actuarial Data'!$C$2:$C$19,'Actuarial Data'!$A$2:$A$19,'Granular Values'!C20),IF(AND(B20="Current",'Actuarial Data'!$I$2="Q2 2022"),SUMIFS('Actuarial Data'!$D$2:$D$19,'Actuarial Data'!$A$2:$A$19,'Granular Values'!C20)))))))))))</f>
        <v>9500000</v>
      </c>
      <c r="F20" s="5">
        <f t="shared" si="1"/>
        <v>9500000</v>
      </c>
    </row>
    <row r="21" spans="1:6" x14ac:dyDescent="0.25">
      <c r="A21" s="16" t="s">
        <v>95</v>
      </c>
      <c r="B21" s="16" t="s">
        <v>11</v>
      </c>
      <c r="C21" s="16" t="s">
        <v>99</v>
      </c>
      <c r="D21" s="3">
        <v>1</v>
      </c>
      <c r="E21" s="14">
        <f>IF(AND(B21="Prior",'Actuarial Data'!$I$2="Q1 2023"),SUMIFS('Actuarial Data'!$B$2:$B$19,'Actuarial Data'!$A$2:$A$19,C21),IF(AND(B21="Current",'Actuarial Data'!$I$2="Q1 2023"),SUMIFS('Actuarial Data'!$C$2:$C$19,'Actuarial Data'!$A$2:$A$19,C21),                                                                                                           IF(AND(B21="Prior",'Actuarial Data'!$I$2="Q2 2023"),SUMIFS('Actuarial Data'!$C$2:$C$19,'Actuarial Data'!$A$2:$A$19,'Granular Values'!C21),IF(AND(B21="Current",'Actuarial Data'!$I$2="Q2 2023"),SUMIFS('Actuarial Data'!$D$2:$D$19,'Actuarial Data'!$A$2:$A$19,'Granular Values'!C21),                                    IF(AND(B21="Prior",'Actuarial Data'!$I$2="Q4 2022"),SUMIFS('Actuarial Data'!$E$2:$E$19,'Actuarial Data'!$A$2:$A$19,'Granular Values'!C21),IF(AND(B21="Current",'Actuarial Data'!$I$2="Q4 2022"),SUMIFS('Actuarial Data'!$F$2:$F$19,'Actuarial Data'!$A$2:$A$19,'Granular Values'!C21),                                    IF(AND(B21="Prior",'Actuarial Data'!$I$2="Q3 2022"),SUMIFS('Actuarial Data'!$D$2:$D$19,'Actuarial Data'!$A$2:$A$19,'Granular Values'!C21),IF(AND(B21="Current",'Actuarial Data'!$I$2="Q3 2022"),SUMIFS('Actuarial Data'!$E$2:$E$19,'Actuarial Data'!$A$2:$A$19,'Granular Values'!C21),                                    IF(AND(B21="Prior",'Actuarial Data'!$I$2="Q2 2022"),SUMIFS('Actuarial Data'!$C$2:$C$19,'Actuarial Data'!$A$2:$A$19,'Granular Values'!C21),IF(AND(B21="Current",'Actuarial Data'!$I$2="Q2 2022"),SUMIFS('Actuarial Data'!$D$2:$D$19,'Actuarial Data'!$A$2:$A$19,'Granular Values'!C21)))))))))))</f>
        <v>16920000</v>
      </c>
      <c r="F21" s="5">
        <f t="shared" si="1"/>
        <v>16920000</v>
      </c>
    </row>
    <row r="22" spans="1:6" x14ac:dyDescent="0.25">
      <c r="A22" s="16" t="s">
        <v>96</v>
      </c>
      <c r="B22" s="16" t="s">
        <v>11</v>
      </c>
      <c r="C22" s="16" t="s">
        <v>100</v>
      </c>
      <c r="D22" s="3">
        <v>1</v>
      </c>
      <c r="E22" s="14">
        <f>IF(AND(B22="Prior",'Actuarial Data'!$I$2="Q1 2023"),SUMIFS('Actuarial Data'!$B$2:$B$19,'Actuarial Data'!$A$2:$A$19,C22),IF(AND(B22="Current",'Actuarial Data'!$I$2="Q1 2023"),SUMIFS('Actuarial Data'!$C$2:$C$19,'Actuarial Data'!$A$2:$A$19,C22),                                                                                                           IF(AND(B22="Prior",'Actuarial Data'!$I$2="Q2 2023"),SUMIFS('Actuarial Data'!$C$2:$C$19,'Actuarial Data'!$A$2:$A$19,'Granular Values'!C22),IF(AND(B22="Current",'Actuarial Data'!$I$2="Q2 2023"),SUMIFS('Actuarial Data'!$D$2:$D$19,'Actuarial Data'!$A$2:$A$19,'Granular Values'!C22),                                    IF(AND(B22="Prior",'Actuarial Data'!$I$2="Q4 2022"),SUMIFS('Actuarial Data'!$E$2:$E$19,'Actuarial Data'!$A$2:$A$19,'Granular Values'!C22),IF(AND(B22="Current",'Actuarial Data'!$I$2="Q4 2022"),SUMIFS('Actuarial Data'!$F$2:$F$19,'Actuarial Data'!$A$2:$A$19,'Granular Values'!C22),                                    IF(AND(B22="Prior",'Actuarial Data'!$I$2="Q3 2022"),SUMIFS('Actuarial Data'!$D$2:$D$19,'Actuarial Data'!$A$2:$A$19,'Granular Values'!C22),IF(AND(B22="Current",'Actuarial Data'!$I$2="Q3 2022"),SUMIFS('Actuarial Data'!$E$2:$E$19,'Actuarial Data'!$A$2:$A$19,'Granular Values'!C22),                                    IF(AND(B22="Prior",'Actuarial Data'!$I$2="Q2 2022"),SUMIFS('Actuarial Data'!$C$2:$C$19,'Actuarial Data'!$A$2:$A$19,'Granular Values'!C22),IF(AND(B22="Current",'Actuarial Data'!$I$2="Q2 2022"),SUMIFS('Actuarial Data'!$D$2:$D$19,'Actuarial Data'!$A$2:$A$19,'Granular Values'!C22)))))))))))</f>
        <v>2200000</v>
      </c>
      <c r="F22" s="5">
        <f t="shared" si="1"/>
        <v>2200000</v>
      </c>
    </row>
    <row r="23" spans="1:6" x14ac:dyDescent="0.25">
      <c r="A23" s="16" t="s">
        <v>102</v>
      </c>
      <c r="B23" s="16" t="s">
        <v>5</v>
      </c>
      <c r="C23" s="16" t="s">
        <v>90</v>
      </c>
      <c r="D23" s="16">
        <v>1</v>
      </c>
      <c r="E23" s="14">
        <f>IF(AND(B23="Prior",'Actuarial Data'!$I$2="Q1 2023"),SUMIFS('Actuarial Data'!$B$2:$B$19,'Actuarial Data'!$A$2:$A$19,C23),IF(AND(B23="Current",'Actuarial Data'!$I$2="Q1 2023"),SUMIFS('Actuarial Data'!$C$2:$C$19,'Actuarial Data'!$A$2:$A$19,C23),                                                                                                           IF(AND(B23="Prior",'Actuarial Data'!$I$2="Q2 2023"),SUMIFS('Actuarial Data'!$C$2:$C$19,'Actuarial Data'!$A$2:$A$19,'Granular Values'!C23),IF(AND(B23="Current",'Actuarial Data'!$I$2="Q2 2023"),SUMIFS('Actuarial Data'!$D$2:$D$19,'Actuarial Data'!$A$2:$A$19,'Granular Values'!C23),                                    IF(AND(B23="Prior",'Actuarial Data'!$I$2="Q4 2022"),SUMIFS('Actuarial Data'!$E$2:$E$19,'Actuarial Data'!$A$2:$A$19,'Granular Values'!C23),IF(AND(B23="Current",'Actuarial Data'!$I$2="Q4 2022"),SUMIFS('Actuarial Data'!$F$2:$F$19,'Actuarial Data'!$A$2:$A$19,'Granular Values'!C23),                                    IF(AND(B23="Prior",'Actuarial Data'!$I$2="Q3 2022"),SUMIFS('Actuarial Data'!$D$2:$D$19,'Actuarial Data'!$A$2:$A$19,'Granular Values'!C23),IF(AND(B23="Current",'Actuarial Data'!$I$2="Q3 2022"),SUMIFS('Actuarial Data'!$E$2:$E$19,'Actuarial Data'!$A$2:$A$19,'Granular Values'!C23),                                    IF(AND(B23="Prior",'Actuarial Data'!$I$2="Q2 2022"),SUMIFS('Actuarial Data'!$C$2:$C$19,'Actuarial Data'!$A$2:$A$19,'Granular Values'!C23),IF(AND(B23="Current",'Actuarial Data'!$I$2="Q2 2022"),SUMIFS('Actuarial Data'!$D$2:$D$19,'Actuarial Data'!$A$2:$A$19,'Granular Values'!C23)))))))))))</f>
        <v>62050000</v>
      </c>
      <c r="F23" s="5">
        <f t="shared" si="1"/>
        <v>62050000</v>
      </c>
    </row>
    <row r="24" spans="1:6" x14ac:dyDescent="0.25">
      <c r="A24" s="16" t="s">
        <v>102</v>
      </c>
      <c r="B24" s="16" t="s">
        <v>5</v>
      </c>
      <c r="C24" s="16" t="s">
        <v>78</v>
      </c>
      <c r="D24" s="16">
        <v>-1</v>
      </c>
      <c r="E24" s="14">
        <f>IF(AND(B24="Prior",'Actuarial Data'!$I$2="Q1 2023"),SUMIFS('Actuarial Data'!$B$2:$B$19,'Actuarial Data'!$A$2:$A$19,C24),IF(AND(B24="Current",'Actuarial Data'!$I$2="Q1 2023"),SUMIFS('Actuarial Data'!$C$2:$C$19,'Actuarial Data'!$A$2:$A$19,C24),                                                                                                           IF(AND(B24="Prior",'Actuarial Data'!$I$2="Q2 2023"),SUMIFS('Actuarial Data'!$C$2:$C$19,'Actuarial Data'!$A$2:$A$19,'Granular Values'!C24),IF(AND(B24="Current",'Actuarial Data'!$I$2="Q2 2023"),SUMIFS('Actuarial Data'!$D$2:$D$19,'Actuarial Data'!$A$2:$A$19,'Granular Values'!C24),                                    IF(AND(B24="Prior",'Actuarial Data'!$I$2="Q4 2022"),SUMIFS('Actuarial Data'!$E$2:$E$19,'Actuarial Data'!$A$2:$A$19,'Granular Values'!C24),IF(AND(B24="Current",'Actuarial Data'!$I$2="Q4 2022"),SUMIFS('Actuarial Data'!$F$2:$F$19,'Actuarial Data'!$A$2:$A$19,'Granular Values'!C24),                                    IF(AND(B24="Prior",'Actuarial Data'!$I$2="Q3 2022"),SUMIFS('Actuarial Data'!$D$2:$D$19,'Actuarial Data'!$A$2:$A$19,'Granular Values'!C24),IF(AND(B24="Current",'Actuarial Data'!$I$2="Q3 2022"),SUMIFS('Actuarial Data'!$E$2:$E$19,'Actuarial Data'!$A$2:$A$19,'Granular Values'!C24),                                    IF(AND(B24="Prior",'Actuarial Data'!$I$2="Q2 2022"),SUMIFS('Actuarial Data'!$C$2:$C$19,'Actuarial Data'!$A$2:$A$19,'Granular Values'!C24),IF(AND(B24="Current",'Actuarial Data'!$I$2="Q2 2022"),SUMIFS('Actuarial Data'!$D$2:$D$19,'Actuarial Data'!$A$2:$A$19,'Granular Values'!C24)))))))))))</f>
        <v>58500000</v>
      </c>
      <c r="F24" s="5">
        <f t="shared" si="1"/>
        <v>-58500000</v>
      </c>
    </row>
    <row r="25" spans="1:6" x14ac:dyDescent="0.25">
      <c r="A25" s="16" t="s">
        <v>103</v>
      </c>
      <c r="B25" s="16" t="s">
        <v>11</v>
      </c>
      <c r="C25" s="16" t="s">
        <v>90</v>
      </c>
      <c r="D25" s="16">
        <v>1</v>
      </c>
      <c r="E25" s="14">
        <f>IF(AND(B25="Prior",'Actuarial Data'!$I$2="Q1 2023"),SUMIFS('Actuarial Data'!$B$2:$B$19,'Actuarial Data'!$A$2:$A$19,C25),IF(AND(B25="Current",'Actuarial Data'!$I$2="Q1 2023"),SUMIFS('Actuarial Data'!$C$2:$C$19,'Actuarial Data'!$A$2:$A$19,C25),                                                                                                           IF(AND(B25="Prior",'Actuarial Data'!$I$2="Q2 2023"),SUMIFS('Actuarial Data'!$C$2:$C$19,'Actuarial Data'!$A$2:$A$19,'Granular Values'!C25),IF(AND(B25="Current",'Actuarial Data'!$I$2="Q2 2023"),SUMIFS('Actuarial Data'!$D$2:$D$19,'Actuarial Data'!$A$2:$A$19,'Granular Values'!C25),                                    IF(AND(B25="Prior",'Actuarial Data'!$I$2="Q4 2022"),SUMIFS('Actuarial Data'!$E$2:$E$19,'Actuarial Data'!$A$2:$A$19,'Granular Values'!C25),IF(AND(B25="Current",'Actuarial Data'!$I$2="Q4 2022"),SUMIFS('Actuarial Data'!$F$2:$F$19,'Actuarial Data'!$A$2:$A$19,'Granular Values'!C25),                                    IF(AND(B25="Prior",'Actuarial Data'!$I$2="Q3 2022"),SUMIFS('Actuarial Data'!$D$2:$D$19,'Actuarial Data'!$A$2:$A$19,'Granular Values'!C25),IF(AND(B25="Current",'Actuarial Data'!$I$2="Q3 2022"),SUMIFS('Actuarial Data'!$E$2:$E$19,'Actuarial Data'!$A$2:$A$19,'Granular Values'!C25),                                    IF(AND(B25="Prior",'Actuarial Data'!$I$2="Q2 2022"),SUMIFS('Actuarial Data'!$C$2:$C$19,'Actuarial Data'!$A$2:$A$19,'Granular Values'!C25),IF(AND(B25="Current",'Actuarial Data'!$I$2="Q2 2022"),SUMIFS('Actuarial Data'!$D$2:$D$19,'Actuarial Data'!$A$2:$A$19,'Granular Values'!C25)))))))))))</f>
        <v>57120000</v>
      </c>
      <c r="F25" s="5">
        <f t="shared" si="1"/>
        <v>57120000</v>
      </c>
    </row>
    <row r="26" spans="1:6" x14ac:dyDescent="0.25">
      <c r="A26" s="16" t="s">
        <v>103</v>
      </c>
      <c r="B26" s="16" t="s">
        <v>11</v>
      </c>
      <c r="C26" s="16" t="s">
        <v>78</v>
      </c>
      <c r="D26" s="16">
        <v>-1</v>
      </c>
      <c r="E26" s="14">
        <f>IF(AND(B26="Prior",'Actuarial Data'!$I$2="Q1 2023"),SUMIFS('Actuarial Data'!$B$2:$B$19,'Actuarial Data'!$A$2:$A$19,C26),IF(AND(B26="Current",'Actuarial Data'!$I$2="Q1 2023"),SUMIFS('Actuarial Data'!$C$2:$C$19,'Actuarial Data'!$A$2:$A$19,C26),                                                                                                           IF(AND(B26="Prior",'Actuarial Data'!$I$2="Q2 2023"),SUMIFS('Actuarial Data'!$C$2:$C$19,'Actuarial Data'!$A$2:$A$19,'Granular Values'!C26),IF(AND(B26="Current",'Actuarial Data'!$I$2="Q2 2023"),SUMIFS('Actuarial Data'!$D$2:$D$19,'Actuarial Data'!$A$2:$A$19,'Granular Values'!C26),                                    IF(AND(B26="Prior",'Actuarial Data'!$I$2="Q4 2022"),SUMIFS('Actuarial Data'!$E$2:$E$19,'Actuarial Data'!$A$2:$A$19,'Granular Values'!C26),IF(AND(B26="Current",'Actuarial Data'!$I$2="Q4 2022"),SUMIFS('Actuarial Data'!$F$2:$F$19,'Actuarial Data'!$A$2:$A$19,'Granular Values'!C26),                                    IF(AND(B26="Prior",'Actuarial Data'!$I$2="Q3 2022"),SUMIFS('Actuarial Data'!$D$2:$D$19,'Actuarial Data'!$A$2:$A$19,'Granular Values'!C26),IF(AND(B26="Current",'Actuarial Data'!$I$2="Q3 2022"),SUMIFS('Actuarial Data'!$E$2:$E$19,'Actuarial Data'!$A$2:$A$19,'Granular Values'!C26),                                    IF(AND(B26="Prior",'Actuarial Data'!$I$2="Q2 2022"),SUMIFS('Actuarial Data'!$C$2:$C$19,'Actuarial Data'!$A$2:$A$19,'Granular Values'!C26),IF(AND(B26="Current",'Actuarial Data'!$I$2="Q2 2022"),SUMIFS('Actuarial Data'!$D$2:$D$19,'Actuarial Data'!$A$2:$A$19,'Granular Values'!C26)))))))))))</f>
        <v>50250000</v>
      </c>
      <c r="F26" s="5">
        <f t="shared" si="1"/>
        <v>-50250000</v>
      </c>
    </row>
  </sheetData>
  <phoneticPr fontId="3" type="noConversion"/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I27"/>
  <sheetViews>
    <sheetView tabSelected="1" zoomScale="82" workbookViewId="0">
      <selection activeCell="I9" sqref="I9"/>
    </sheetView>
  </sheetViews>
  <sheetFormatPr defaultColWidth="11" defaultRowHeight="15.75" x14ac:dyDescent="0.25"/>
  <cols>
    <col min="1" max="1" width="43.375" bestFit="1" customWidth="1"/>
    <col min="2" max="6" width="15.5" bestFit="1" customWidth="1"/>
    <col min="8" max="8" width="22.25" bestFit="1" customWidth="1"/>
  </cols>
  <sheetData>
    <row r="1" spans="1:9" x14ac:dyDescent="0.25">
      <c r="A1" s="2" t="s">
        <v>84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</row>
    <row r="2" spans="1:9" x14ac:dyDescent="0.25">
      <c r="A2" s="3" t="s">
        <v>78</v>
      </c>
      <c r="B2" s="14">
        <v>58500000</v>
      </c>
      <c r="C2" s="28">
        <v>50250000</v>
      </c>
      <c r="D2" s="17"/>
      <c r="E2" s="17"/>
      <c r="F2" s="17"/>
      <c r="H2" s="30" t="s">
        <v>130</v>
      </c>
      <c r="I2" s="3" t="s">
        <v>131</v>
      </c>
    </row>
    <row r="3" spans="1:9" x14ac:dyDescent="0.25">
      <c r="A3" s="3" t="s">
        <v>27</v>
      </c>
      <c r="B3" s="28"/>
      <c r="C3" s="28">
        <v>4325000</v>
      </c>
      <c r="D3" s="17"/>
      <c r="E3" s="17"/>
      <c r="F3" s="17"/>
    </row>
    <row r="4" spans="1:9" x14ac:dyDescent="0.25">
      <c r="A4" s="3" t="s">
        <v>36</v>
      </c>
      <c r="B4" s="28"/>
      <c r="C4" s="28">
        <v>6112500</v>
      </c>
      <c r="D4" s="17"/>
      <c r="E4" s="17"/>
      <c r="F4" s="17"/>
    </row>
    <row r="5" spans="1:9" x14ac:dyDescent="0.25">
      <c r="A5" s="3" t="s">
        <v>28</v>
      </c>
      <c r="B5" s="28"/>
      <c r="C5" s="28">
        <v>400000</v>
      </c>
      <c r="D5" s="17"/>
      <c r="E5" s="17"/>
      <c r="F5" s="17"/>
    </row>
    <row r="6" spans="1:9" x14ac:dyDescent="0.25">
      <c r="A6" s="3" t="s">
        <v>29</v>
      </c>
      <c r="B6" s="28"/>
      <c r="C6" s="28">
        <v>1250000</v>
      </c>
      <c r="D6" s="17"/>
      <c r="E6" s="17"/>
      <c r="F6" s="17"/>
    </row>
    <row r="7" spans="1:9" x14ac:dyDescent="0.25">
      <c r="A7" s="3" t="s">
        <v>31</v>
      </c>
      <c r="B7" s="28"/>
      <c r="C7" s="28">
        <v>500000</v>
      </c>
      <c r="D7" s="17"/>
      <c r="E7" s="17"/>
      <c r="F7" s="17"/>
    </row>
    <row r="8" spans="1:9" x14ac:dyDescent="0.25">
      <c r="A8" s="3" t="s">
        <v>30</v>
      </c>
      <c r="B8" s="28"/>
      <c r="C8" s="28">
        <v>5025000</v>
      </c>
      <c r="D8" s="17"/>
      <c r="E8" s="17"/>
      <c r="F8" s="17"/>
    </row>
    <row r="9" spans="1:9" x14ac:dyDescent="0.25">
      <c r="A9" s="3" t="s">
        <v>32</v>
      </c>
      <c r="B9" s="28"/>
      <c r="C9" s="28">
        <v>7537500</v>
      </c>
      <c r="D9" s="17"/>
      <c r="E9" s="17"/>
      <c r="F9" s="17"/>
    </row>
    <row r="10" spans="1:9" x14ac:dyDescent="0.25">
      <c r="A10" s="3" t="s">
        <v>33</v>
      </c>
      <c r="B10" s="28"/>
      <c r="C10" s="28">
        <v>21075000</v>
      </c>
      <c r="D10" s="17"/>
      <c r="E10" s="17"/>
      <c r="F10" s="17"/>
    </row>
    <row r="11" spans="1:9" x14ac:dyDescent="0.25">
      <c r="A11" s="3" t="s">
        <v>34</v>
      </c>
      <c r="B11" s="28"/>
      <c r="C11" s="28">
        <v>4025000</v>
      </c>
      <c r="D11" s="17"/>
      <c r="E11" s="17"/>
      <c r="F11" s="17"/>
    </row>
    <row r="12" spans="1:9" x14ac:dyDescent="0.25">
      <c r="A12" s="3" t="s">
        <v>37</v>
      </c>
      <c r="B12" s="28"/>
      <c r="C12" s="28">
        <v>5000000</v>
      </c>
      <c r="D12" s="17"/>
      <c r="E12" s="17"/>
      <c r="F12" s="17"/>
    </row>
    <row r="13" spans="1:9" x14ac:dyDescent="0.25">
      <c r="A13" s="3" t="s">
        <v>35</v>
      </c>
      <c r="B13" s="28"/>
      <c r="C13" s="28">
        <v>3250000</v>
      </c>
      <c r="D13" s="17"/>
      <c r="E13" s="17"/>
      <c r="F13" s="17"/>
    </row>
    <row r="14" spans="1:9" x14ac:dyDescent="0.25">
      <c r="A14" s="16" t="s">
        <v>90</v>
      </c>
      <c r="B14" s="14">
        <v>62050000</v>
      </c>
      <c r="C14" s="28">
        <v>57120000</v>
      </c>
      <c r="D14" s="17"/>
      <c r="E14" s="17"/>
      <c r="F14" s="17"/>
    </row>
    <row r="15" spans="1:9" x14ac:dyDescent="0.25">
      <c r="A15" s="16" t="s">
        <v>97</v>
      </c>
      <c r="B15" s="17"/>
      <c r="C15" s="28">
        <v>28500000</v>
      </c>
      <c r="D15" s="17"/>
      <c r="E15" s="17"/>
      <c r="F15" s="17"/>
    </row>
    <row r="16" spans="1:9" x14ac:dyDescent="0.25">
      <c r="A16" s="16" t="s">
        <v>98</v>
      </c>
      <c r="B16" s="17"/>
      <c r="C16" s="28">
        <v>9500000</v>
      </c>
      <c r="D16" s="17"/>
      <c r="E16" s="17"/>
      <c r="F16" s="17"/>
    </row>
    <row r="17" spans="1:6" x14ac:dyDescent="0.25">
      <c r="A17" s="16" t="s">
        <v>104</v>
      </c>
      <c r="B17" s="17"/>
      <c r="C17" s="28">
        <v>16920000</v>
      </c>
      <c r="D17" s="17"/>
      <c r="E17" s="17"/>
      <c r="F17" s="17"/>
    </row>
    <row r="18" spans="1:6" x14ac:dyDescent="0.25">
      <c r="A18" s="16" t="s">
        <v>100</v>
      </c>
      <c r="B18" s="17"/>
      <c r="C18" s="28">
        <v>2200000</v>
      </c>
      <c r="D18" s="17"/>
      <c r="E18" s="17"/>
      <c r="F18" s="17"/>
    </row>
    <row r="19" spans="1:6" x14ac:dyDescent="0.25">
      <c r="A19" s="16" t="s">
        <v>101</v>
      </c>
      <c r="B19" s="17">
        <v>3550000</v>
      </c>
      <c r="C19" s="28">
        <v>6870000</v>
      </c>
      <c r="D19" s="17"/>
      <c r="E19" s="17"/>
      <c r="F19" s="17"/>
    </row>
    <row r="20" spans="1:6" x14ac:dyDescent="0.25">
      <c r="C20" s="6"/>
      <c r="E20" s="6"/>
    </row>
    <row r="21" spans="1:6" x14ac:dyDescent="0.25">
      <c r="C21" s="6"/>
      <c r="E21" s="29"/>
    </row>
    <row r="22" spans="1:6" x14ac:dyDescent="0.25">
      <c r="C22" s="1"/>
      <c r="E22" s="29"/>
    </row>
    <row r="23" spans="1:6" x14ac:dyDescent="0.25">
      <c r="C23" s="1"/>
    </row>
    <row r="24" spans="1:6" x14ac:dyDescent="0.25">
      <c r="C24" s="1"/>
    </row>
    <row r="25" spans="1:6" x14ac:dyDescent="0.25">
      <c r="C25" s="1"/>
    </row>
    <row r="26" spans="1:6" x14ac:dyDescent="0.25">
      <c r="C26" s="1"/>
    </row>
    <row r="27" spans="1:6" x14ac:dyDescent="0.25">
      <c r="C27" s="6"/>
    </row>
  </sheetData>
  <phoneticPr fontId="3" type="noConversion"/>
  <dataValidations count="1">
    <dataValidation type="list" allowBlank="1" showInputMessage="1" showErrorMessage="1" sqref="I2">
      <formula1>"Q1 2023, Q2 2023, Q2 2022, Q3 2022, Q4 2022"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D5"/>
  <sheetViews>
    <sheetView workbookViewId="0">
      <selection activeCell="C19" sqref="C19"/>
    </sheetView>
  </sheetViews>
  <sheetFormatPr defaultRowHeight="15.75" x14ac:dyDescent="0.25"/>
  <cols>
    <col min="2" max="2" width="18.875" bestFit="1" customWidth="1"/>
    <col min="3" max="3" width="14.75" bestFit="1" customWidth="1"/>
    <col min="4" max="4" width="64.125" bestFit="1" customWidth="1"/>
  </cols>
  <sheetData>
    <row r="2" spans="2:4" x14ac:dyDescent="0.25">
      <c r="B2" s="31" t="s">
        <v>138</v>
      </c>
      <c r="C2" s="31" t="s">
        <v>133</v>
      </c>
      <c r="D2" s="31" t="s">
        <v>139</v>
      </c>
    </row>
    <row r="3" spans="2:4" x14ac:dyDescent="0.25">
      <c r="B3" s="3" t="s">
        <v>78</v>
      </c>
      <c r="C3" s="32">
        <v>50250000</v>
      </c>
      <c r="D3" s="3" t="s">
        <v>140</v>
      </c>
    </row>
    <row r="4" spans="2:4" x14ac:dyDescent="0.25">
      <c r="B4" s="3" t="s">
        <v>90</v>
      </c>
      <c r="C4" s="32">
        <v>57120000</v>
      </c>
      <c r="D4" s="3" t="s">
        <v>140</v>
      </c>
    </row>
    <row r="5" spans="2:4" x14ac:dyDescent="0.25">
      <c r="B5" s="3" t="s">
        <v>101</v>
      </c>
      <c r="C5" s="33">
        <v>6870000</v>
      </c>
      <c r="D5" s="3" t="s">
        <v>141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D106"/>
  <sheetViews>
    <sheetView workbookViewId="0">
      <selection activeCell="B2" sqref="B2"/>
    </sheetView>
  </sheetViews>
  <sheetFormatPr defaultRowHeight="15.75" x14ac:dyDescent="0.25"/>
  <cols>
    <col min="1" max="1" width="27.875" bestFit="1" customWidth="1"/>
    <col min="2" max="2" width="13.75" bestFit="1" customWidth="1"/>
    <col min="3" max="3" width="6.875" bestFit="1" customWidth="1"/>
    <col min="4" max="4" width="13.75" bestFit="1" customWidth="1"/>
  </cols>
  <sheetData>
    <row r="1" spans="1:4" x14ac:dyDescent="0.25">
      <c r="A1" s="20" t="s">
        <v>86</v>
      </c>
      <c r="B1" s="20" t="s">
        <v>132</v>
      </c>
      <c r="C1" s="21" t="s">
        <v>3</v>
      </c>
      <c r="D1" s="22" t="s">
        <v>133</v>
      </c>
    </row>
    <row r="2" spans="1:4" x14ac:dyDescent="0.25">
      <c r="A2" s="23" t="s">
        <v>78</v>
      </c>
      <c r="B2" s="23" t="s">
        <v>134</v>
      </c>
      <c r="C2" s="24" t="s">
        <v>5</v>
      </c>
      <c r="D2" s="25">
        <v>50250000</v>
      </c>
    </row>
    <row r="3" spans="1:4" x14ac:dyDescent="0.25">
      <c r="A3" s="23" t="s">
        <v>78</v>
      </c>
      <c r="B3" s="23" t="s">
        <v>134</v>
      </c>
      <c r="C3" s="24" t="s">
        <v>11</v>
      </c>
      <c r="D3" s="25">
        <v>50007000</v>
      </c>
    </row>
    <row r="4" spans="1:4" x14ac:dyDescent="0.25">
      <c r="A4" s="23" t="s">
        <v>27</v>
      </c>
      <c r="B4" s="23" t="s">
        <v>134</v>
      </c>
      <c r="C4" s="24" t="s">
        <v>11</v>
      </c>
      <c r="D4" s="25">
        <v>4038500</v>
      </c>
    </row>
    <row r="5" spans="1:4" x14ac:dyDescent="0.25">
      <c r="A5" s="23" t="s">
        <v>36</v>
      </c>
      <c r="B5" s="23" t="s">
        <v>134</v>
      </c>
      <c r="C5" s="24" t="s">
        <v>11</v>
      </c>
      <c r="D5" s="25">
        <v>4506000</v>
      </c>
    </row>
    <row r="6" spans="1:4" x14ac:dyDescent="0.25">
      <c r="A6" s="23" t="s">
        <v>28</v>
      </c>
      <c r="B6" s="23" t="s">
        <v>134</v>
      </c>
      <c r="C6" s="24" t="s">
        <v>11</v>
      </c>
      <c r="D6" s="25">
        <v>400000</v>
      </c>
    </row>
    <row r="7" spans="1:4" x14ac:dyDescent="0.25">
      <c r="A7" s="23" t="s">
        <v>29</v>
      </c>
      <c r="B7" s="23" t="s">
        <v>134</v>
      </c>
      <c r="C7" s="24" t="s">
        <v>11</v>
      </c>
      <c r="D7" s="25">
        <v>1000000</v>
      </c>
    </row>
    <row r="8" spans="1:4" x14ac:dyDescent="0.25">
      <c r="A8" s="23" t="s">
        <v>31</v>
      </c>
      <c r="B8" s="23" t="s">
        <v>134</v>
      </c>
      <c r="C8" s="24" t="s">
        <v>11</v>
      </c>
      <c r="D8" s="25">
        <v>500000</v>
      </c>
    </row>
    <row r="9" spans="1:4" x14ac:dyDescent="0.25">
      <c r="A9" s="23" t="s">
        <v>30</v>
      </c>
      <c r="B9" s="23" t="s">
        <v>134</v>
      </c>
      <c r="C9" s="24" t="s">
        <v>11</v>
      </c>
      <c r="D9" s="25">
        <v>5025000</v>
      </c>
    </row>
    <row r="10" spans="1:4" x14ac:dyDescent="0.25">
      <c r="A10" s="23" t="s">
        <v>32</v>
      </c>
      <c r="B10" s="23" t="s">
        <v>134</v>
      </c>
      <c r="C10" s="24" t="s">
        <v>11</v>
      </c>
      <c r="D10" s="25">
        <v>7537500</v>
      </c>
    </row>
    <row r="11" spans="1:4" x14ac:dyDescent="0.25">
      <c r="A11" s="23" t="s">
        <v>33</v>
      </c>
      <c r="B11" s="23" t="s">
        <v>134</v>
      </c>
      <c r="C11" s="24" t="s">
        <v>11</v>
      </c>
      <c r="D11" s="25">
        <v>23000000</v>
      </c>
    </row>
    <row r="12" spans="1:4" x14ac:dyDescent="0.25">
      <c r="A12" s="23" t="s">
        <v>34</v>
      </c>
      <c r="B12" s="23" t="s">
        <v>134</v>
      </c>
      <c r="C12" s="24" t="s">
        <v>11</v>
      </c>
      <c r="D12" s="25">
        <v>4000000</v>
      </c>
    </row>
    <row r="13" spans="1:4" x14ac:dyDescent="0.25">
      <c r="A13" s="23" t="s">
        <v>37</v>
      </c>
      <c r="B13" s="23" t="s">
        <v>134</v>
      </c>
      <c r="C13" s="24" t="s">
        <v>11</v>
      </c>
      <c r="D13" s="25">
        <v>4800000</v>
      </c>
    </row>
    <row r="14" spans="1:4" x14ac:dyDescent="0.25">
      <c r="A14" s="23" t="s">
        <v>35</v>
      </c>
      <c r="B14" s="23" t="s">
        <v>134</v>
      </c>
      <c r="C14" s="24" t="s">
        <v>11</v>
      </c>
      <c r="D14" s="25">
        <v>3500000</v>
      </c>
    </row>
    <row r="15" spans="1:4" x14ac:dyDescent="0.25">
      <c r="A15" s="23" t="s">
        <v>90</v>
      </c>
      <c r="B15" s="23" t="s">
        <v>134</v>
      </c>
      <c r="C15" s="24" t="s">
        <v>5</v>
      </c>
      <c r="D15" s="25">
        <v>57120000</v>
      </c>
    </row>
    <row r="16" spans="1:4" x14ac:dyDescent="0.25">
      <c r="A16" s="23" t="s">
        <v>90</v>
      </c>
      <c r="B16" s="23" t="s">
        <v>134</v>
      </c>
      <c r="C16" s="24" t="s">
        <v>11</v>
      </c>
      <c r="D16" s="25">
        <v>55200000</v>
      </c>
    </row>
    <row r="17" spans="1:4" x14ac:dyDescent="0.25">
      <c r="A17" s="23" t="s">
        <v>97</v>
      </c>
      <c r="B17" s="23" t="s">
        <v>134</v>
      </c>
      <c r="C17" s="24" t="s">
        <v>11</v>
      </c>
      <c r="D17" s="25">
        <v>25600000</v>
      </c>
    </row>
    <row r="18" spans="1:4" x14ac:dyDescent="0.25">
      <c r="A18" s="23" t="s">
        <v>98</v>
      </c>
      <c r="B18" s="23" t="s">
        <v>134</v>
      </c>
      <c r="C18" s="24" t="s">
        <v>11</v>
      </c>
      <c r="D18" s="25">
        <v>10000000</v>
      </c>
    </row>
    <row r="19" spans="1:4" x14ac:dyDescent="0.25">
      <c r="A19" s="23" t="s">
        <v>104</v>
      </c>
      <c r="B19" s="23" t="s">
        <v>134</v>
      </c>
      <c r="C19" s="24" t="s">
        <v>11</v>
      </c>
      <c r="D19" s="25">
        <v>17400000</v>
      </c>
    </row>
    <row r="20" spans="1:4" x14ac:dyDescent="0.25">
      <c r="A20" s="23" t="s">
        <v>100</v>
      </c>
      <c r="B20" s="23" t="s">
        <v>134</v>
      </c>
      <c r="C20" s="24" t="s">
        <v>11</v>
      </c>
      <c r="D20" s="25">
        <v>2200000</v>
      </c>
    </row>
    <row r="21" spans="1:4" x14ac:dyDescent="0.25">
      <c r="A21" s="23" t="s">
        <v>101</v>
      </c>
      <c r="B21" s="23" t="s">
        <v>134</v>
      </c>
      <c r="C21" s="24" t="s">
        <v>5</v>
      </c>
      <c r="D21" s="25">
        <v>6870000</v>
      </c>
    </row>
    <row r="22" spans="1:4" x14ac:dyDescent="0.25">
      <c r="A22" s="23" t="s">
        <v>101</v>
      </c>
      <c r="B22" s="23" t="s">
        <v>134</v>
      </c>
      <c r="C22" s="24" t="s">
        <v>11</v>
      </c>
      <c r="D22" s="25">
        <v>5193000</v>
      </c>
    </row>
    <row r="23" spans="1:4" x14ac:dyDescent="0.25">
      <c r="A23" s="26" t="s">
        <v>78</v>
      </c>
      <c r="B23" s="26" t="s">
        <v>131</v>
      </c>
      <c r="C23" s="10" t="s">
        <v>5</v>
      </c>
      <c r="D23" s="27">
        <v>58500000</v>
      </c>
    </row>
    <row r="24" spans="1:4" x14ac:dyDescent="0.25">
      <c r="A24" s="23" t="s">
        <v>78</v>
      </c>
      <c r="B24" s="23" t="s">
        <v>131</v>
      </c>
      <c r="C24" s="24" t="s">
        <v>11</v>
      </c>
      <c r="D24" s="25">
        <v>50250000</v>
      </c>
    </row>
    <row r="25" spans="1:4" x14ac:dyDescent="0.25">
      <c r="A25" s="23" t="s">
        <v>27</v>
      </c>
      <c r="B25" s="23" t="s">
        <v>131</v>
      </c>
      <c r="C25" s="24" t="s">
        <v>11</v>
      </c>
      <c r="D25" s="25">
        <v>4325000</v>
      </c>
    </row>
    <row r="26" spans="1:4" x14ac:dyDescent="0.25">
      <c r="A26" s="23" t="s">
        <v>36</v>
      </c>
      <c r="B26" s="23" t="s">
        <v>131</v>
      </c>
      <c r="C26" s="24" t="s">
        <v>11</v>
      </c>
      <c r="D26" s="25">
        <v>6112500</v>
      </c>
    </row>
    <row r="27" spans="1:4" x14ac:dyDescent="0.25">
      <c r="A27" s="23" t="s">
        <v>28</v>
      </c>
      <c r="B27" s="23" t="s">
        <v>131</v>
      </c>
      <c r="C27" s="24" t="s">
        <v>11</v>
      </c>
      <c r="D27" s="25">
        <v>400000</v>
      </c>
    </row>
    <row r="28" spans="1:4" x14ac:dyDescent="0.25">
      <c r="A28" s="23" t="s">
        <v>29</v>
      </c>
      <c r="B28" s="23" t="s">
        <v>131</v>
      </c>
      <c r="C28" s="24" t="s">
        <v>11</v>
      </c>
      <c r="D28" s="25">
        <v>1250000</v>
      </c>
    </row>
    <row r="29" spans="1:4" x14ac:dyDescent="0.25">
      <c r="A29" s="23" t="s">
        <v>31</v>
      </c>
      <c r="B29" s="23" t="s">
        <v>131</v>
      </c>
      <c r="C29" s="24" t="s">
        <v>11</v>
      </c>
      <c r="D29" s="25">
        <v>500000</v>
      </c>
    </row>
    <row r="30" spans="1:4" x14ac:dyDescent="0.25">
      <c r="A30" s="23" t="s">
        <v>30</v>
      </c>
      <c r="B30" s="23" t="s">
        <v>131</v>
      </c>
      <c r="C30" s="24" t="s">
        <v>11</v>
      </c>
      <c r="D30" s="25">
        <v>5025000</v>
      </c>
    </row>
    <row r="31" spans="1:4" x14ac:dyDescent="0.25">
      <c r="A31" s="23" t="s">
        <v>32</v>
      </c>
      <c r="B31" s="23" t="s">
        <v>131</v>
      </c>
      <c r="C31" s="24" t="s">
        <v>11</v>
      </c>
      <c r="D31" s="25">
        <v>7537500</v>
      </c>
    </row>
    <row r="32" spans="1:4" x14ac:dyDescent="0.25">
      <c r="A32" s="23" t="s">
        <v>33</v>
      </c>
      <c r="B32" s="23" t="s">
        <v>131</v>
      </c>
      <c r="C32" s="24" t="s">
        <v>11</v>
      </c>
      <c r="D32" s="25">
        <v>21075000</v>
      </c>
    </row>
    <row r="33" spans="1:4" x14ac:dyDescent="0.25">
      <c r="A33" s="23" t="s">
        <v>34</v>
      </c>
      <c r="B33" s="23" t="s">
        <v>131</v>
      </c>
      <c r="C33" s="24" t="s">
        <v>11</v>
      </c>
      <c r="D33" s="25">
        <v>4025000</v>
      </c>
    </row>
    <row r="34" spans="1:4" x14ac:dyDescent="0.25">
      <c r="A34" s="23" t="s">
        <v>37</v>
      </c>
      <c r="B34" s="23" t="s">
        <v>131</v>
      </c>
      <c r="C34" s="24" t="s">
        <v>11</v>
      </c>
      <c r="D34" s="25">
        <v>5000000</v>
      </c>
    </row>
    <row r="35" spans="1:4" x14ac:dyDescent="0.25">
      <c r="A35" s="23" t="s">
        <v>35</v>
      </c>
      <c r="B35" s="23" t="s">
        <v>131</v>
      </c>
      <c r="C35" s="24" t="s">
        <v>11</v>
      </c>
      <c r="D35" s="25">
        <v>3250000</v>
      </c>
    </row>
    <row r="36" spans="1:4" x14ac:dyDescent="0.25">
      <c r="A36" s="23" t="s">
        <v>90</v>
      </c>
      <c r="B36" s="23" t="s">
        <v>131</v>
      </c>
      <c r="C36" s="24" t="s">
        <v>5</v>
      </c>
      <c r="D36" s="25">
        <v>62050000</v>
      </c>
    </row>
    <row r="37" spans="1:4" x14ac:dyDescent="0.25">
      <c r="A37" s="23" t="s">
        <v>90</v>
      </c>
      <c r="B37" s="23" t="s">
        <v>131</v>
      </c>
      <c r="C37" s="24" t="s">
        <v>11</v>
      </c>
      <c r="D37" s="25">
        <v>57120000</v>
      </c>
    </row>
    <row r="38" spans="1:4" x14ac:dyDescent="0.25">
      <c r="A38" s="23" t="s">
        <v>97</v>
      </c>
      <c r="B38" s="23" t="s">
        <v>131</v>
      </c>
      <c r="C38" s="24" t="s">
        <v>11</v>
      </c>
      <c r="D38" s="25">
        <v>28500000</v>
      </c>
    </row>
    <row r="39" spans="1:4" x14ac:dyDescent="0.25">
      <c r="A39" s="23" t="s">
        <v>98</v>
      </c>
      <c r="B39" s="23" t="s">
        <v>131</v>
      </c>
      <c r="C39" s="24" t="s">
        <v>11</v>
      </c>
      <c r="D39" s="25">
        <v>9500000</v>
      </c>
    </row>
    <row r="40" spans="1:4" x14ac:dyDescent="0.25">
      <c r="A40" s="23" t="s">
        <v>104</v>
      </c>
      <c r="B40" s="23" t="s">
        <v>131</v>
      </c>
      <c r="C40" s="24" t="s">
        <v>11</v>
      </c>
      <c r="D40" s="25">
        <v>16920000</v>
      </c>
    </row>
    <row r="41" spans="1:4" x14ac:dyDescent="0.25">
      <c r="A41" s="23" t="s">
        <v>100</v>
      </c>
      <c r="B41" s="23" t="s">
        <v>131</v>
      </c>
      <c r="C41" s="24" t="s">
        <v>11</v>
      </c>
      <c r="D41" s="25">
        <v>2200000</v>
      </c>
    </row>
    <row r="42" spans="1:4" x14ac:dyDescent="0.25">
      <c r="A42" s="23" t="s">
        <v>101</v>
      </c>
      <c r="B42" s="23" t="s">
        <v>131</v>
      </c>
      <c r="C42" s="24" t="s">
        <v>5</v>
      </c>
      <c r="D42" s="25">
        <v>3550000</v>
      </c>
    </row>
    <row r="43" spans="1:4" x14ac:dyDescent="0.25">
      <c r="A43" s="23" t="s">
        <v>101</v>
      </c>
      <c r="B43" s="23" t="s">
        <v>131</v>
      </c>
      <c r="C43" s="24" t="s">
        <v>11</v>
      </c>
      <c r="D43" s="25">
        <v>6870000</v>
      </c>
    </row>
    <row r="44" spans="1:4" x14ac:dyDescent="0.25">
      <c r="A44" s="26" t="s">
        <v>78</v>
      </c>
      <c r="B44" s="26" t="s">
        <v>135</v>
      </c>
      <c r="C44" s="10" t="s">
        <v>5</v>
      </c>
      <c r="D44" s="27">
        <v>50000500</v>
      </c>
    </row>
    <row r="45" spans="1:4" x14ac:dyDescent="0.25">
      <c r="A45" s="23" t="s">
        <v>78</v>
      </c>
      <c r="B45" s="23" t="s">
        <v>135</v>
      </c>
      <c r="C45" s="24" t="s">
        <v>11</v>
      </c>
      <c r="D45" s="25">
        <v>58500000</v>
      </c>
    </row>
    <row r="46" spans="1:4" x14ac:dyDescent="0.25">
      <c r="A46" s="23" t="s">
        <v>27</v>
      </c>
      <c r="B46" s="23" t="s">
        <v>135</v>
      </c>
      <c r="C46" s="24" t="s">
        <v>11</v>
      </c>
      <c r="D46" s="25">
        <v>7000000</v>
      </c>
    </row>
    <row r="47" spans="1:4" x14ac:dyDescent="0.25">
      <c r="A47" s="23" t="s">
        <v>36</v>
      </c>
      <c r="B47" s="23" t="s">
        <v>135</v>
      </c>
      <c r="C47" s="24" t="s">
        <v>11</v>
      </c>
      <c r="D47" s="25">
        <v>8187500</v>
      </c>
    </row>
    <row r="48" spans="1:4" x14ac:dyDescent="0.25">
      <c r="A48" s="23" t="s">
        <v>28</v>
      </c>
      <c r="B48" s="23" t="s">
        <v>135</v>
      </c>
      <c r="C48" s="24" t="s">
        <v>11</v>
      </c>
      <c r="D48" s="25">
        <v>400000</v>
      </c>
    </row>
    <row r="49" spans="1:4" x14ac:dyDescent="0.25">
      <c r="A49" s="23" t="s">
        <v>29</v>
      </c>
      <c r="B49" s="23" t="s">
        <v>135</v>
      </c>
      <c r="C49" s="24" t="s">
        <v>11</v>
      </c>
      <c r="D49" s="25">
        <v>1250000</v>
      </c>
    </row>
    <row r="50" spans="1:4" x14ac:dyDescent="0.25">
      <c r="A50" s="23" t="s">
        <v>31</v>
      </c>
      <c r="B50" s="23" t="s">
        <v>135</v>
      </c>
      <c r="C50" s="24" t="s">
        <v>11</v>
      </c>
      <c r="D50" s="25">
        <v>500000</v>
      </c>
    </row>
    <row r="51" spans="1:4" x14ac:dyDescent="0.25">
      <c r="A51" s="23" t="s">
        <v>30</v>
      </c>
      <c r="B51" s="23" t="s">
        <v>135</v>
      </c>
      <c r="C51" s="24" t="s">
        <v>11</v>
      </c>
      <c r="D51" s="25">
        <v>8525000</v>
      </c>
    </row>
    <row r="52" spans="1:4" x14ac:dyDescent="0.25">
      <c r="A52" s="23" t="s">
        <v>32</v>
      </c>
      <c r="B52" s="23" t="s">
        <v>135</v>
      </c>
      <c r="C52" s="24" t="s">
        <v>11</v>
      </c>
      <c r="D52" s="25">
        <v>7537500</v>
      </c>
    </row>
    <row r="53" spans="1:4" x14ac:dyDescent="0.25">
      <c r="A53" s="23" t="s">
        <v>33</v>
      </c>
      <c r="B53" s="23" t="s">
        <v>135</v>
      </c>
      <c r="C53" s="24" t="s">
        <v>11</v>
      </c>
      <c r="D53" s="25">
        <v>21075000</v>
      </c>
    </row>
    <row r="54" spans="1:4" x14ac:dyDescent="0.25">
      <c r="A54" s="23" t="s">
        <v>34</v>
      </c>
      <c r="B54" s="23" t="s">
        <v>135</v>
      </c>
      <c r="C54" s="24" t="s">
        <v>11</v>
      </c>
      <c r="D54" s="25">
        <v>4025000</v>
      </c>
    </row>
    <row r="55" spans="1:4" x14ac:dyDescent="0.25">
      <c r="A55" s="23" t="s">
        <v>37</v>
      </c>
      <c r="B55" s="23" t="s">
        <v>135</v>
      </c>
      <c r="C55" s="24" t="s">
        <v>11</v>
      </c>
      <c r="D55" s="25">
        <v>4800000</v>
      </c>
    </row>
    <row r="56" spans="1:4" x14ac:dyDescent="0.25">
      <c r="A56" s="23" t="s">
        <v>35</v>
      </c>
      <c r="B56" s="23" t="s">
        <v>135</v>
      </c>
      <c r="C56" s="24" t="s">
        <v>11</v>
      </c>
      <c r="D56" s="25">
        <v>3800000</v>
      </c>
    </row>
    <row r="57" spans="1:4" x14ac:dyDescent="0.25">
      <c r="A57" s="23" t="s">
        <v>90</v>
      </c>
      <c r="B57" s="23" t="s">
        <v>135</v>
      </c>
      <c r="C57" s="24" t="s">
        <v>5</v>
      </c>
      <c r="D57" s="25">
        <v>51300500</v>
      </c>
    </row>
    <row r="58" spans="1:4" x14ac:dyDescent="0.25">
      <c r="A58" s="23" t="s">
        <v>90</v>
      </c>
      <c r="B58" s="23" t="s">
        <v>135</v>
      </c>
      <c r="C58" s="24" t="s">
        <v>11</v>
      </c>
      <c r="D58" s="25">
        <v>62050000</v>
      </c>
    </row>
    <row r="59" spans="1:4" x14ac:dyDescent="0.25">
      <c r="A59" s="23" t="s">
        <v>97</v>
      </c>
      <c r="B59" s="23" t="s">
        <v>135</v>
      </c>
      <c r="C59" s="24" t="s">
        <v>11</v>
      </c>
      <c r="D59" s="25">
        <v>32500000</v>
      </c>
    </row>
    <row r="60" spans="1:4" x14ac:dyDescent="0.25">
      <c r="A60" s="23" t="s">
        <v>98</v>
      </c>
      <c r="B60" s="23" t="s">
        <v>135</v>
      </c>
      <c r="C60" s="24" t="s">
        <v>11</v>
      </c>
      <c r="D60" s="25">
        <v>11000000</v>
      </c>
    </row>
    <row r="61" spans="1:4" x14ac:dyDescent="0.25">
      <c r="A61" s="23" t="s">
        <v>104</v>
      </c>
      <c r="B61" s="23" t="s">
        <v>135</v>
      </c>
      <c r="C61" s="24" t="s">
        <v>11</v>
      </c>
      <c r="D61" s="25">
        <v>16350000</v>
      </c>
    </row>
    <row r="62" spans="1:4" x14ac:dyDescent="0.25">
      <c r="A62" s="23" t="s">
        <v>100</v>
      </c>
      <c r="B62" s="23" t="s">
        <v>135</v>
      </c>
      <c r="C62" s="24" t="s">
        <v>11</v>
      </c>
      <c r="D62" s="25">
        <v>2200000</v>
      </c>
    </row>
    <row r="63" spans="1:4" x14ac:dyDescent="0.25">
      <c r="A63" s="23" t="s">
        <v>101</v>
      </c>
      <c r="B63" s="23" t="s">
        <v>135</v>
      </c>
      <c r="C63" s="24" t="s">
        <v>5</v>
      </c>
      <c r="D63" s="25">
        <v>1300000</v>
      </c>
    </row>
    <row r="64" spans="1:4" x14ac:dyDescent="0.25">
      <c r="A64" s="23" t="s">
        <v>101</v>
      </c>
      <c r="B64" s="23" t="s">
        <v>135</v>
      </c>
      <c r="C64" s="24" t="s">
        <v>11</v>
      </c>
      <c r="D64" s="25">
        <v>3550000</v>
      </c>
    </row>
    <row r="65" spans="1:4" x14ac:dyDescent="0.25">
      <c r="A65" s="26" t="s">
        <v>78</v>
      </c>
      <c r="B65" s="26" t="s">
        <v>136</v>
      </c>
      <c r="C65" s="10" t="s">
        <v>5</v>
      </c>
      <c r="D65" s="27">
        <v>49005100</v>
      </c>
    </row>
    <row r="66" spans="1:4" x14ac:dyDescent="0.25">
      <c r="A66" s="23" t="s">
        <v>78</v>
      </c>
      <c r="B66" s="23" t="s">
        <v>136</v>
      </c>
      <c r="C66" s="24" t="s">
        <v>11</v>
      </c>
      <c r="D66" s="25">
        <v>50000500</v>
      </c>
    </row>
    <row r="67" spans="1:4" x14ac:dyDescent="0.25">
      <c r="A67" s="23" t="s">
        <v>27</v>
      </c>
      <c r="B67" s="23" t="s">
        <v>136</v>
      </c>
      <c r="C67" s="24" t="s">
        <v>11</v>
      </c>
      <c r="D67" s="25">
        <v>3475000</v>
      </c>
    </row>
    <row r="68" spans="1:4" x14ac:dyDescent="0.25">
      <c r="A68" s="23" t="s">
        <v>36</v>
      </c>
      <c r="B68" s="23" t="s">
        <v>136</v>
      </c>
      <c r="C68" s="24" t="s">
        <v>11</v>
      </c>
      <c r="D68" s="25">
        <v>7038000</v>
      </c>
    </row>
    <row r="69" spans="1:4" x14ac:dyDescent="0.25">
      <c r="A69" s="23" t="s">
        <v>28</v>
      </c>
      <c r="B69" s="23" t="s">
        <v>136</v>
      </c>
      <c r="C69" s="24" t="s">
        <v>11</v>
      </c>
      <c r="D69" s="25">
        <v>400000</v>
      </c>
    </row>
    <row r="70" spans="1:4" x14ac:dyDescent="0.25">
      <c r="A70" s="23" t="s">
        <v>29</v>
      </c>
      <c r="B70" s="23" t="s">
        <v>136</v>
      </c>
      <c r="C70" s="24" t="s">
        <v>11</v>
      </c>
      <c r="D70" s="25">
        <v>1000000</v>
      </c>
    </row>
    <row r="71" spans="1:4" x14ac:dyDescent="0.25">
      <c r="A71" s="23" t="s">
        <v>31</v>
      </c>
      <c r="B71" s="23" t="s">
        <v>136</v>
      </c>
      <c r="C71" s="24" t="s">
        <v>11</v>
      </c>
      <c r="D71" s="25">
        <v>450000</v>
      </c>
    </row>
    <row r="72" spans="1:4" x14ac:dyDescent="0.25">
      <c r="A72" s="23" t="s">
        <v>30</v>
      </c>
      <c r="B72" s="23" t="s">
        <v>136</v>
      </c>
      <c r="C72" s="24" t="s">
        <v>11</v>
      </c>
      <c r="D72" s="25">
        <v>5025000</v>
      </c>
    </row>
    <row r="73" spans="1:4" x14ac:dyDescent="0.25">
      <c r="A73" s="23" t="s">
        <v>32</v>
      </c>
      <c r="B73" s="23" t="s">
        <v>136</v>
      </c>
      <c r="C73" s="24" t="s">
        <v>11</v>
      </c>
      <c r="D73" s="25">
        <v>7537500</v>
      </c>
    </row>
    <row r="74" spans="1:4" x14ac:dyDescent="0.25">
      <c r="A74" s="23" t="s">
        <v>33</v>
      </c>
      <c r="B74" s="23" t="s">
        <v>136</v>
      </c>
      <c r="C74" s="24" t="s">
        <v>11</v>
      </c>
      <c r="D74" s="25">
        <v>21075000</v>
      </c>
    </row>
    <row r="75" spans="1:4" x14ac:dyDescent="0.25">
      <c r="A75" s="23" t="s">
        <v>34</v>
      </c>
      <c r="B75" s="23" t="s">
        <v>136</v>
      </c>
      <c r="C75" s="24" t="s">
        <v>11</v>
      </c>
      <c r="D75" s="25">
        <v>4000000</v>
      </c>
    </row>
    <row r="76" spans="1:4" x14ac:dyDescent="0.25">
      <c r="A76" s="23" t="s">
        <v>37</v>
      </c>
      <c r="B76" s="23" t="s">
        <v>136</v>
      </c>
      <c r="C76" s="24" t="s">
        <v>11</v>
      </c>
      <c r="D76" s="25">
        <v>4700000</v>
      </c>
    </row>
    <row r="77" spans="1:4" x14ac:dyDescent="0.25">
      <c r="A77" s="23" t="s">
        <v>35</v>
      </c>
      <c r="B77" s="23" t="s">
        <v>136</v>
      </c>
      <c r="C77" s="24" t="s">
        <v>11</v>
      </c>
      <c r="D77" s="25">
        <v>3500000</v>
      </c>
    </row>
    <row r="78" spans="1:4" x14ac:dyDescent="0.25">
      <c r="A78" s="23" t="s">
        <v>90</v>
      </c>
      <c r="B78" s="23" t="s">
        <v>136</v>
      </c>
      <c r="C78" s="24" t="s">
        <v>5</v>
      </c>
      <c r="D78" s="25">
        <v>53200000</v>
      </c>
    </row>
    <row r="79" spans="1:4" x14ac:dyDescent="0.25">
      <c r="A79" s="23" t="s">
        <v>90</v>
      </c>
      <c r="B79" s="23" t="s">
        <v>136</v>
      </c>
      <c r="C79" s="24" t="s">
        <v>11</v>
      </c>
      <c r="D79" s="25">
        <v>51300500</v>
      </c>
    </row>
    <row r="80" spans="1:4" x14ac:dyDescent="0.25">
      <c r="A80" s="23" t="s">
        <v>97</v>
      </c>
      <c r="B80" s="23" t="s">
        <v>136</v>
      </c>
      <c r="C80" s="24" t="s">
        <v>11</v>
      </c>
      <c r="D80" s="25">
        <v>25400000</v>
      </c>
    </row>
    <row r="81" spans="1:4" x14ac:dyDescent="0.25">
      <c r="A81" s="23" t="s">
        <v>98</v>
      </c>
      <c r="B81" s="23" t="s">
        <v>136</v>
      </c>
      <c r="C81" s="24" t="s">
        <v>11</v>
      </c>
      <c r="D81" s="25">
        <v>7000000</v>
      </c>
    </row>
    <row r="82" spans="1:4" x14ac:dyDescent="0.25">
      <c r="A82" s="23" t="s">
        <v>104</v>
      </c>
      <c r="B82" s="23" t="s">
        <v>136</v>
      </c>
      <c r="C82" s="24" t="s">
        <v>11</v>
      </c>
      <c r="D82" s="25">
        <v>16600500</v>
      </c>
    </row>
    <row r="83" spans="1:4" x14ac:dyDescent="0.25">
      <c r="A83" s="23" t="s">
        <v>100</v>
      </c>
      <c r="B83" s="23" t="s">
        <v>136</v>
      </c>
      <c r="C83" s="24" t="s">
        <v>11</v>
      </c>
      <c r="D83" s="25">
        <v>2300000</v>
      </c>
    </row>
    <row r="84" spans="1:4" x14ac:dyDescent="0.25">
      <c r="A84" s="23" t="s">
        <v>101</v>
      </c>
      <c r="B84" s="23" t="s">
        <v>136</v>
      </c>
      <c r="C84" s="24" t="s">
        <v>5</v>
      </c>
      <c r="D84" s="25">
        <v>4194900</v>
      </c>
    </row>
    <row r="85" spans="1:4" x14ac:dyDescent="0.25">
      <c r="A85" s="23" t="s">
        <v>101</v>
      </c>
      <c r="B85" s="23" t="s">
        <v>136</v>
      </c>
      <c r="C85" s="24" t="s">
        <v>11</v>
      </c>
      <c r="D85" s="25">
        <v>1300000</v>
      </c>
    </row>
    <row r="86" spans="1:4" x14ac:dyDescent="0.25">
      <c r="A86" s="26" t="s">
        <v>78</v>
      </c>
      <c r="B86" s="26" t="s">
        <v>137</v>
      </c>
      <c r="C86" s="10" t="s">
        <v>5</v>
      </c>
      <c r="D86" s="27">
        <v>47500000</v>
      </c>
    </row>
    <row r="87" spans="1:4" x14ac:dyDescent="0.25">
      <c r="A87" s="23" t="s">
        <v>78</v>
      </c>
      <c r="B87" s="23" t="s">
        <v>137</v>
      </c>
      <c r="C87" s="24" t="s">
        <v>11</v>
      </c>
      <c r="D87" s="25">
        <v>49005100</v>
      </c>
    </row>
    <row r="88" spans="1:4" x14ac:dyDescent="0.25">
      <c r="A88" s="23" t="s">
        <v>27</v>
      </c>
      <c r="B88" s="23" t="s">
        <v>137</v>
      </c>
      <c r="C88" s="24" t="s">
        <v>11</v>
      </c>
      <c r="D88" s="25">
        <v>3479600</v>
      </c>
    </row>
    <row r="89" spans="1:4" x14ac:dyDescent="0.25">
      <c r="A89" s="23" t="s">
        <v>36</v>
      </c>
      <c r="B89" s="23" t="s">
        <v>137</v>
      </c>
      <c r="C89" s="24" t="s">
        <v>11</v>
      </c>
      <c r="D89" s="25">
        <v>6038000</v>
      </c>
    </row>
    <row r="90" spans="1:4" x14ac:dyDescent="0.25">
      <c r="A90" s="23" t="s">
        <v>28</v>
      </c>
      <c r="B90" s="23" t="s">
        <v>137</v>
      </c>
      <c r="C90" s="24" t="s">
        <v>11</v>
      </c>
      <c r="D90" s="25">
        <v>400000</v>
      </c>
    </row>
    <row r="91" spans="1:4" x14ac:dyDescent="0.25">
      <c r="A91" s="23" t="s">
        <v>29</v>
      </c>
      <c r="B91" s="23" t="s">
        <v>137</v>
      </c>
      <c r="C91" s="24" t="s">
        <v>11</v>
      </c>
      <c r="D91" s="25">
        <v>1000000</v>
      </c>
    </row>
    <row r="92" spans="1:4" x14ac:dyDescent="0.25">
      <c r="A92" s="23" t="s">
        <v>31</v>
      </c>
      <c r="B92" s="23" t="s">
        <v>137</v>
      </c>
      <c r="C92" s="24" t="s">
        <v>11</v>
      </c>
      <c r="D92" s="25">
        <v>450000</v>
      </c>
    </row>
    <row r="93" spans="1:4" x14ac:dyDescent="0.25">
      <c r="A93" s="23" t="s">
        <v>30</v>
      </c>
      <c r="B93" s="23" t="s">
        <v>137</v>
      </c>
      <c r="C93" s="24" t="s">
        <v>11</v>
      </c>
      <c r="D93" s="25">
        <v>5025000</v>
      </c>
    </row>
    <row r="94" spans="1:4" x14ac:dyDescent="0.25">
      <c r="A94" s="23" t="s">
        <v>32</v>
      </c>
      <c r="B94" s="23" t="s">
        <v>137</v>
      </c>
      <c r="C94" s="24" t="s">
        <v>11</v>
      </c>
      <c r="D94" s="25">
        <v>7537500</v>
      </c>
    </row>
    <row r="95" spans="1:4" x14ac:dyDescent="0.25">
      <c r="A95" s="23" t="s">
        <v>33</v>
      </c>
      <c r="B95" s="23" t="s">
        <v>137</v>
      </c>
      <c r="C95" s="24" t="s">
        <v>11</v>
      </c>
      <c r="D95" s="25">
        <v>21075000</v>
      </c>
    </row>
    <row r="96" spans="1:4" x14ac:dyDescent="0.25">
      <c r="A96" s="23" t="s">
        <v>34</v>
      </c>
      <c r="B96" s="23" t="s">
        <v>137</v>
      </c>
      <c r="C96" s="24" t="s">
        <v>11</v>
      </c>
      <c r="D96" s="25">
        <v>4000000</v>
      </c>
    </row>
    <row r="97" spans="1:4" x14ac:dyDescent="0.25">
      <c r="A97" s="23" t="s">
        <v>37</v>
      </c>
      <c r="B97" s="23" t="s">
        <v>137</v>
      </c>
      <c r="C97" s="24" t="s">
        <v>11</v>
      </c>
      <c r="D97" s="25">
        <v>4900000</v>
      </c>
    </row>
    <row r="98" spans="1:4" x14ac:dyDescent="0.25">
      <c r="A98" s="23" t="s">
        <v>35</v>
      </c>
      <c r="B98" s="23" t="s">
        <v>137</v>
      </c>
      <c r="C98" s="24" t="s">
        <v>11</v>
      </c>
      <c r="D98" s="25">
        <v>3600000</v>
      </c>
    </row>
    <row r="99" spans="1:4" x14ac:dyDescent="0.25">
      <c r="A99" s="23" t="s">
        <v>90</v>
      </c>
      <c r="B99" s="23" t="s">
        <v>137</v>
      </c>
      <c r="C99" s="24" t="s">
        <v>5</v>
      </c>
      <c r="D99" s="25">
        <v>54000000</v>
      </c>
    </row>
    <row r="100" spans="1:4" x14ac:dyDescent="0.25">
      <c r="A100" s="23" t="s">
        <v>90</v>
      </c>
      <c r="B100" s="23" t="s">
        <v>137</v>
      </c>
      <c r="C100" s="24" t="s">
        <v>11</v>
      </c>
      <c r="D100" s="25">
        <v>53200000</v>
      </c>
    </row>
    <row r="101" spans="1:4" x14ac:dyDescent="0.25">
      <c r="A101" s="23" t="s">
        <v>97</v>
      </c>
      <c r="B101" s="23" t="s">
        <v>137</v>
      </c>
      <c r="C101" s="24" t="s">
        <v>11</v>
      </c>
      <c r="D101" s="25">
        <v>24400000</v>
      </c>
    </row>
    <row r="102" spans="1:4" x14ac:dyDescent="0.25">
      <c r="A102" s="23" t="s">
        <v>98</v>
      </c>
      <c r="B102" s="23" t="s">
        <v>137</v>
      </c>
      <c r="C102" s="24" t="s">
        <v>11</v>
      </c>
      <c r="D102" s="25">
        <v>9100000</v>
      </c>
    </row>
    <row r="103" spans="1:4" x14ac:dyDescent="0.25">
      <c r="A103" s="23" t="s">
        <v>104</v>
      </c>
      <c r="B103" s="23" t="s">
        <v>137</v>
      </c>
      <c r="C103" s="24" t="s">
        <v>11</v>
      </c>
      <c r="D103" s="25">
        <v>17400000</v>
      </c>
    </row>
    <row r="104" spans="1:4" x14ac:dyDescent="0.25">
      <c r="A104" s="23" t="s">
        <v>100</v>
      </c>
      <c r="B104" s="23" t="s">
        <v>137</v>
      </c>
      <c r="C104" s="24" t="s">
        <v>11</v>
      </c>
      <c r="D104" s="25">
        <v>2300000</v>
      </c>
    </row>
    <row r="105" spans="1:4" x14ac:dyDescent="0.25">
      <c r="A105" s="23" t="s">
        <v>101</v>
      </c>
      <c r="B105" s="23" t="s">
        <v>137</v>
      </c>
      <c r="C105" s="24" t="s">
        <v>5</v>
      </c>
      <c r="D105" s="25">
        <v>6500000</v>
      </c>
    </row>
    <row r="106" spans="1:4" x14ac:dyDescent="0.25">
      <c r="A106" s="23" t="s">
        <v>101</v>
      </c>
      <c r="B106" s="23" t="s">
        <v>137</v>
      </c>
      <c r="C106" s="24" t="s">
        <v>11</v>
      </c>
      <c r="D106" s="25">
        <v>4194900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E11"/>
  <sheetViews>
    <sheetView workbookViewId="0">
      <selection activeCell="B14" sqref="B14"/>
    </sheetView>
  </sheetViews>
  <sheetFormatPr defaultColWidth="11" defaultRowHeight="15.75" x14ac:dyDescent="0.25"/>
  <cols>
    <col min="1" max="1" width="24.125" bestFit="1" customWidth="1"/>
    <col min="2" max="2" width="37.625" customWidth="1"/>
    <col min="4" max="4" width="84.375" customWidth="1"/>
    <col min="5" max="5" width="16" bestFit="1" customWidth="1"/>
  </cols>
  <sheetData>
    <row r="1" spans="1:5" x14ac:dyDescent="0.25">
      <c r="A1" s="2" t="s">
        <v>38</v>
      </c>
      <c r="B1" s="2" t="s">
        <v>77</v>
      </c>
      <c r="C1" s="2" t="s">
        <v>3</v>
      </c>
      <c r="D1" s="2" t="s">
        <v>1</v>
      </c>
      <c r="E1" s="2" t="s">
        <v>86</v>
      </c>
    </row>
    <row r="2" spans="1:5" x14ac:dyDescent="0.25">
      <c r="A2" s="3" t="s">
        <v>74</v>
      </c>
      <c r="B2" s="3" t="s">
        <v>48</v>
      </c>
      <c r="C2" s="3" t="s">
        <v>5</v>
      </c>
      <c r="D2" s="3" t="s">
        <v>79</v>
      </c>
      <c r="E2" s="3" t="s">
        <v>78</v>
      </c>
    </row>
    <row r="3" spans="1:5" x14ac:dyDescent="0.25">
      <c r="A3" s="3" t="s">
        <v>74</v>
      </c>
      <c r="B3" s="3" t="s">
        <v>49</v>
      </c>
      <c r="C3" s="3" t="s">
        <v>11</v>
      </c>
      <c r="D3" s="3" t="s">
        <v>80</v>
      </c>
      <c r="E3" s="3" t="s">
        <v>78</v>
      </c>
    </row>
    <row r="4" spans="1:5" ht="31.5" x14ac:dyDescent="0.25">
      <c r="A4" s="3" t="s">
        <v>75</v>
      </c>
      <c r="B4" s="3" t="s">
        <v>71</v>
      </c>
      <c r="C4" s="3" t="s">
        <v>5</v>
      </c>
      <c r="D4" s="8" t="s">
        <v>82</v>
      </c>
      <c r="E4" s="3" t="s">
        <v>78</v>
      </c>
    </row>
    <row r="5" spans="1:5" ht="31.5" x14ac:dyDescent="0.25">
      <c r="A5" s="3" t="s">
        <v>75</v>
      </c>
      <c r="B5" s="3" t="s">
        <v>71</v>
      </c>
      <c r="C5" s="3" t="s">
        <v>11</v>
      </c>
      <c r="D5" s="8" t="s">
        <v>82</v>
      </c>
      <c r="E5" s="3" t="s">
        <v>37</v>
      </c>
    </row>
    <row r="6" spans="1:5" ht="31.5" x14ac:dyDescent="0.25">
      <c r="A6" s="3" t="s">
        <v>75</v>
      </c>
      <c r="B6" s="3" t="s">
        <v>71</v>
      </c>
      <c r="C6" s="3" t="s">
        <v>11</v>
      </c>
      <c r="D6" s="8" t="s">
        <v>82</v>
      </c>
      <c r="E6" s="3" t="s">
        <v>35</v>
      </c>
    </row>
    <row r="7" spans="1:5" ht="31.5" x14ac:dyDescent="0.25">
      <c r="A7" s="3" t="s">
        <v>75</v>
      </c>
      <c r="B7" s="3" t="s">
        <v>71</v>
      </c>
      <c r="C7" s="3" t="s">
        <v>11</v>
      </c>
      <c r="D7" s="8" t="s">
        <v>82</v>
      </c>
      <c r="E7" s="3" t="s">
        <v>78</v>
      </c>
    </row>
    <row r="8" spans="1:5" x14ac:dyDescent="0.25">
      <c r="A8" s="3" t="s">
        <v>89</v>
      </c>
      <c r="B8" s="3" t="s">
        <v>111</v>
      </c>
      <c r="C8" s="3" t="s">
        <v>5</v>
      </c>
      <c r="D8" s="3" t="s">
        <v>112</v>
      </c>
      <c r="E8" s="3" t="s">
        <v>90</v>
      </c>
    </row>
    <row r="9" spans="1:5" x14ac:dyDescent="0.25">
      <c r="A9" s="3" t="s">
        <v>89</v>
      </c>
      <c r="B9" s="3" t="s">
        <v>113</v>
      </c>
      <c r="C9" s="3" t="s">
        <v>11</v>
      </c>
      <c r="D9" s="3" t="s">
        <v>114</v>
      </c>
      <c r="E9" s="3" t="s">
        <v>90</v>
      </c>
    </row>
    <row r="10" spans="1:5" x14ac:dyDescent="0.25">
      <c r="A10" s="3" t="s">
        <v>110</v>
      </c>
      <c r="B10" s="3"/>
      <c r="C10" s="3" t="s">
        <v>115</v>
      </c>
      <c r="D10" s="19" t="s">
        <v>116</v>
      </c>
      <c r="E10" s="3" t="s">
        <v>101</v>
      </c>
    </row>
    <row r="11" spans="1:5" x14ac:dyDescent="0.25">
      <c r="A11" s="3" t="s">
        <v>110</v>
      </c>
      <c r="B11" s="3"/>
      <c r="C11" s="3" t="s">
        <v>11</v>
      </c>
      <c r="D11" s="19" t="s">
        <v>117</v>
      </c>
      <c r="E11" s="3" t="s">
        <v>101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C21"/>
  <sheetViews>
    <sheetView topLeftCell="A6" zoomScale="111" zoomScaleNormal="120" workbookViewId="0">
      <selection activeCell="B17" sqref="B17"/>
    </sheetView>
  </sheetViews>
  <sheetFormatPr defaultColWidth="11" defaultRowHeight="15.75" x14ac:dyDescent="0.25"/>
  <cols>
    <col min="1" max="1" width="15.5" bestFit="1" customWidth="1"/>
    <col min="2" max="2" width="64" bestFit="1" customWidth="1"/>
    <col min="3" max="3" width="100.375" bestFit="1" customWidth="1"/>
    <col min="5" max="5" width="10.875" customWidth="1"/>
  </cols>
  <sheetData>
    <row r="1" spans="1:3" x14ac:dyDescent="0.25">
      <c r="A1" s="2" t="s">
        <v>38</v>
      </c>
      <c r="B1" s="2" t="s">
        <v>77</v>
      </c>
      <c r="C1" s="2" t="s">
        <v>1</v>
      </c>
    </row>
    <row r="2" spans="1:3" x14ac:dyDescent="0.25">
      <c r="A2" s="3" t="s">
        <v>58</v>
      </c>
      <c r="B2" s="3" t="s">
        <v>48</v>
      </c>
      <c r="C2" s="4" t="s">
        <v>79</v>
      </c>
    </row>
    <row r="3" spans="1:3" x14ac:dyDescent="0.25">
      <c r="A3" s="3" t="s">
        <v>60</v>
      </c>
      <c r="B3" s="3" t="s">
        <v>50</v>
      </c>
      <c r="C3" s="4" t="s">
        <v>40</v>
      </c>
    </row>
    <row r="4" spans="1:3" x14ac:dyDescent="0.25">
      <c r="A4" s="3" t="s">
        <v>61</v>
      </c>
      <c r="B4" s="3" t="s">
        <v>73</v>
      </c>
      <c r="C4" s="4" t="s">
        <v>72</v>
      </c>
    </row>
    <row r="5" spans="1:3" x14ac:dyDescent="0.25">
      <c r="A5" s="3" t="s">
        <v>62</v>
      </c>
      <c r="B5" s="3" t="s">
        <v>51</v>
      </c>
      <c r="C5" s="4" t="s">
        <v>41</v>
      </c>
    </row>
    <row r="6" spans="1:3" x14ac:dyDescent="0.25">
      <c r="A6" s="3" t="s">
        <v>63</v>
      </c>
      <c r="B6" s="3" t="s">
        <v>52</v>
      </c>
      <c r="C6" s="4" t="s">
        <v>42</v>
      </c>
    </row>
    <row r="7" spans="1:3" x14ac:dyDescent="0.25">
      <c r="A7" s="3" t="s">
        <v>64</v>
      </c>
      <c r="B7" s="3" t="s">
        <v>53</v>
      </c>
      <c r="C7" s="4" t="s">
        <v>43</v>
      </c>
    </row>
    <row r="8" spans="1:3" x14ac:dyDescent="0.25">
      <c r="A8" s="3" t="s">
        <v>65</v>
      </c>
      <c r="B8" s="3" t="s">
        <v>54</v>
      </c>
      <c r="C8" s="4" t="s">
        <v>44</v>
      </c>
    </row>
    <row r="9" spans="1:3" x14ac:dyDescent="0.25">
      <c r="A9" s="3" t="s">
        <v>66</v>
      </c>
      <c r="B9" s="3" t="s">
        <v>55</v>
      </c>
      <c r="C9" s="4" t="s">
        <v>45</v>
      </c>
    </row>
    <row r="10" spans="1:3" x14ac:dyDescent="0.25">
      <c r="A10" s="3" t="s">
        <v>67</v>
      </c>
      <c r="B10" s="3" t="s">
        <v>56</v>
      </c>
      <c r="C10" s="4" t="s">
        <v>46</v>
      </c>
    </row>
    <row r="11" spans="1:3" x14ac:dyDescent="0.25">
      <c r="A11" s="3" t="s">
        <v>68</v>
      </c>
      <c r="B11" s="3" t="s">
        <v>57</v>
      </c>
      <c r="C11" s="4" t="s">
        <v>47</v>
      </c>
    </row>
    <row r="12" spans="1:3" x14ac:dyDescent="0.25">
      <c r="A12" s="3" t="s">
        <v>59</v>
      </c>
      <c r="B12" s="3" t="s">
        <v>49</v>
      </c>
      <c r="C12" s="4" t="s">
        <v>80</v>
      </c>
    </row>
    <row r="13" spans="1:3" ht="31.5" x14ac:dyDescent="0.25">
      <c r="A13" s="10" t="s">
        <v>70</v>
      </c>
      <c r="B13" s="3" t="s">
        <v>69</v>
      </c>
      <c r="C13" s="8" t="s">
        <v>81</v>
      </c>
    </row>
    <row r="14" spans="1:3" x14ac:dyDescent="0.25">
      <c r="A14" s="3" t="s">
        <v>91</v>
      </c>
      <c r="B14" s="3" t="s">
        <v>111</v>
      </c>
      <c r="C14" s="4" t="s">
        <v>112</v>
      </c>
    </row>
    <row r="15" spans="1:3" x14ac:dyDescent="0.25">
      <c r="A15" s="3" t="s">
        <v>92</v>
      </c>
      <c r="B15" s="3" t="s">
        <v>113</v>
      </c>
      <c r="C15" s="4" t="s">
        <v>114</v>
      </c>
    </row>
    <row r="16" spans="1:3" x14ac:dyDescent="0.25">
      <c r="A16" s="3" t="s">
        <v>93</v>
      </c>
      <c r="B16" s="3" t="s">
        <v>118</v>
      </c>
      <c r="C16" s="4" t="s">
        <v>119</v>
      </c>
    </row>
    <row r="17" spans="1:3" x14ac:dyDescent="0.25">
      <c r="A17" s="3" t="s">
        <v>94</v>
      </c>
      <c r="B17" s="3" t="s">
        <v>120</v>
      </c>
      <c r="C17" s="4" t="s">
        <v>121</v>
      </c>
    </row>
    <row r="18" spans="1:3" x14ac:dyDescent="0.25">
      <c r="A18" s="3" t="s">
        <v>95</v>
      </c>
      <c r="B18" s="3" t="s">
        <v>122</v>
      </c>
      <c r="C18" s="4" t="s">
        <v>123</v>
      </c>
    </row>
    <row r="19" spans="1:3" x14ac:dyDescent="0.25">
      <c r="A19" s="3" t="s">
        <v>96</v>
      </c>
      <c r="B19" s="3" t="s">
        <v>124</v>
      </c>
      <c r="C19" s="4" t="s">
        <v>125</v>
      </c>
    </row>
    <row r="20" spans="1:3" x14ac:dyDescent="0.25">
      <c r="A20" s="3" t="s">
        <v>102</v>
      </c>
      <c r="B20" s="3" t="s">
        <v>126</v>
      </c>
      <c r="C20" s="4" t="s">
        <v>127</v>
      </c>
    </row>
    <row r="21" spans="1:3" x14ac:dyDescent="0.25">
      <c r="A21" s="3" t="s">
        <v>103</v>
      </c>
      <c r="B21" s="3" t="s">
        <v>128</v>
      </c>
      <c r="C21" s="4" t="s">
        <v>129</v>
      </c>
    </row>
  </sheetData>
  <phoneticPr fontId="3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Continuity Group</vt:lpstr>
      <vt:lpstr>Continuity Group for Primary</vt:lpstr>
      <vt:lpstr>Continuity Group for Granular</vt:lpstr>
      <vt:lpstr>Primary Values</vt:lpstr>
      <vt:lpstr>Granular Values</vt:lpstr>
      <vt:lpstr>Actuarial Data</vt:lpstr>
      <vt:lpstr>Checks &amp; Inferences</vt:lpstr>
      <vt:lpstr>Provided Data</vt:lpstr>
      <vt:lpstr>Primary Data Point Formulas</vt:lpstr>
      <vt:lpstr>Granular Data Point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acer</cp:lastModifiedBy>
  <dcterms:created xsi:type="dcterms:W3CDTF">2023-04-04T17:45:52Z</dcterms:created>
  <dcterms:modified xsi:type="dcterms:W3CDTF">2026-06-29T06:29:35Z</dcterms:modified>
</cp:coreProperties>
</file>